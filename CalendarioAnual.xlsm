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dev\EXCELS\"/>
    </mc:Choice>
  </mc:AlternateContent>
  <xr:revisionPtr revIDLastSave="0" documentId="13_ncr:1_{D03F2B92-F9D5-4400-8A1F-6E6AF8C08641}" xr6:coauthVersionLast="45" xr6:coauthVersionMax="45" xr10:uidLastSave="{00000000-0000-0000-0000-000000000000}"/>
  <bookViews>
    <workbookView xWindow="-20610" yWindow="4545" windowWidth="20730" windowHeight="11160" activeTab="1" xr2:uid="{00000000-000D-0000-FFFF-FFFF00000000}"/>
  </bookViews>
  <sheets>
    <sheet name="Año 2020" sheetId="3" r:id="rId1"/>
    <sheet name="PLANTILLA" sheetId="1" r:id="rId2"/>
    <sheet name="Data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19" i="1" l="1" a="1"/>
  <c r="BH19" i="1" s="1"/>
  <c r="G2" i="2" l="1"/>
  <c r="BH19" i="3"/>
  <c r="AW19" i="3" l="1"/>
  <c r="AY21" i="3" s="1"/>
  <c r="AZ21" i="3" s="1"/>
  <c r="BA21" i="3" s="1"/>
  <c r="BB21" i="3" s="1"/>
  <c r="BC21" i="3" s="1"/>
  <c r="BD21" i="3" s="1"/>
  <c r="BE21" i="3" s="1"/>
  <c r="AS19" i="3"/>
  <c r="AV19" i="3" s="1"/>
  <c r="G19" i="3"/>
  <c r="I21" i="3" s="1"/>
  <c r="J21" i="3" s="1"/>
  <c r="K21" i="3" s="1"/>
  <c r="L21" i="3" s="1"/>
  <c r="M21" i="3" s="1"/>
  <c r="N21" i="3" s="1"/>
  <c r="O21" i="3" s="1"/>
  <c r="C19" i="3"/>
  <c r="F19" i="3" s="1"/>
  <c r="U10" i="3"/>
  <c r="W12" i="3" s="1"/>
  <c r="X12" i="3" s="1"/>
  <c r="Y12" i="3" s="1"/>
  <c r="Z12" i="3" s="1"/>
  <c r="AA12" i="3" s="1"/>
  <c r="AB12" i="3" s="1"/>
  <c r="AC12" i="3" s="1"/>
  <c r="Q10" i="3"/>
  <c r="T10" i="3" s="1"/>
  <c r="AI1" i="3"/>
  <c r="AK3" i="3" s="1"/>
  <c r="AL3" i="3" s="1"/>
  <c r="AM3" i="3" s="1"/>
  <c r="AN3" i="3" s="1"/>
  <c r="AO3" i="3" s="1"/>
  <c r="AP3" i="3" s="1"/>
  <c r="AQ3" i="3" s="1"/>
  <c r="AE1" i="3"/>
  <c r="AH1" i="3" s="1"/>
  <c r="BI17" i="3"/>
  <c r="BJ10" i="3"/>
  <c r="AI19" i="3"/>
  <c r="AK21" i="3" s="1"/>
  <c r="AL21" i="3" s="1"/>
  <c r="AM21" i="3" s="1"/>
  <c r="AN21" i="3" s="1"/>
  <c r="AO21" i="3" s="1"/>
  <c r="AP21" i="3" s="1"/>
  <c r="AQ21" i="3" s="1"/>
  <c r="AE19" i="3"/>
  <c r="AH19" i="3" s="1"/>
  <c r="AW10" i="3"/>
  <c r="AY12" i="3" s="1"/>
  <c r="AZ12" i="3" s="1"/>
  <c r="BA12" i="3" s="1"/>
  <c r="BB12" i="3" s="1"/>
  <c r="BC12" i="3" s="1"/>
  <c r="BD12" i="3" s="1"/>
  <c r="BE12" i="3" s="1"/>
  <c r="AS10" i="3"/>
  <c r="AV10" i="3" s="1"/>
  <c r="G10" i="3"/>
  <c r="I12" i="3" s="1"/>
  <c r="J12" i="3" s="1"/>
  <c r="K12" i="3" s="1"/>
  <c r="L12" i="3" s="1"/>
  <c r="M12" i="3" s="1"/>
  <c r="N12" i="3" s="1"/>
  <c r="O12" i="3" s="1"/>
  <c r="C10" i="3"/>
  <c r="F10" i="3" s="1"/>
  <c r="U1" i="3"/>
  <c r="W3" i="3" s="1"/>
  <c r="X3" i="3" s="1"/>
  <c r="Y3" i="3" s="1"/>
  <c r="Z3" i="3" s="1"/>
  <c r="AA3" i="3" s="1"/>
  <c r="AB3" i="3" s="1"/>
  <c r="AC3" i="3" s="1"/>
  <c r="Q1" i="3"/>
  <c r="T1" i="3" s="1"/>
  <c r="C1" i="3"/>
  <c r="F1" i="3" s="1"/>
  <c r="B3" i="3"/>
  <c r="U19" i="3"/>
  <c r="W21" i="3" s="1"/>
  <c r="X21" i="3" s="1"/>
  <c r="Y21" i="3" s="1"/>
  <c r="Z21" i="3" s="1"/>
  <c r="AA21" i="3" s="1"/>
  <c r="AB21" i="3" s="1"/>
  <c r="AC21" i="3" s="1"/>
  <c r="Q19" i="3"/>
  <c r="T19" i="3" s="1"/>
  <c r="AI10" i="3"/>
  <c r="AK12" i="3" s="1"/>
  <c r="AL12" i="3" s="1"/>
  <c r="AM12" i="3" s="1"/>
  <c r="AN12" i="3" s="1"/>
  <c r="AO12" i="3" s="1"/>
  <c r="AP12" i="3" s="1"/>
  <c r="AQ12" i="3" s="1"/>
  <c r="AE10" i="3"/>
  <c r="AH10" i="3" s="1"/>
  <c r="AW1" i="3"/>
  <c r="AY3" i="3" s="1"/>
  <c r="AZ3" i="3" s="1"/>
  <c r="BA3" i="3" s="1"/>
  <c r="BB3" i="3" s="1"/>
  <c r="BC3" i="3" s="1"/>
  <c r="BD3" i="3" s="1"/>
  <c r="BE3" i="3" s="1"/>
  <c r="AS1" i="3"/>
  <c r="AV1" i="3" s="1"/>
  <c r="G1" i="3"/>
  <c r="I3" i="3" s="1"/>
  <c r="J3" i="3" s="1"/>
  <c r="K3" i="3" s="1"/>
  <c r="L3" i="3" s="1"/>
  <c r="M3" i="3" s="1"/>
  <c r="N3" i="3" s="1"/>
  <c r="O3" i="3" s="1"/>
  <c r="BJ11" i="1"/>
  <c r="BI17" i="1"/>
  <c r="AK4" i="3" l="1"/>
  <c r="AL4" i="3" s="1"/>
  <c r="AM4" i="3" s="1"/>
  <c r="AN4" i="3" s="1"/>
  <c r="AO4" i="3" s="1"/>
  <c r="AP4" i="3" s="1"/>
  <c r="AQ4" i="3" s="1"/>
  <c r="AK5" i="3" s="1"/>
  <c r="AL5" i="3" s="1"/>
  <c r="AM5" i="3" s="1"/>
  <c r="AN5" i="3" s="1"/>
  <c r="AO5" i="3" s="1"/>
  <c r="AP5" i="3" s="1"/>
  <c r="AQ5" i="3" s="1"/>
  <c r="AK6" i="3" s="1"/>
  <c r="AL6" i="3" s="1"/>
  <c r="AM6" i="3" s="1"/>
  <c r="AN6" i="3" s="1"/>
  <c r="AO6" i="3" s="1"/>
  <c r="AP6" i="3" s="1"/>
  <c r="AQ6" i="3" s="1"/>
  <c r="AK7" i="3" s="1"/>
  <c r="AL7" i="3" s="1"/>
  <c r="AM7" i="3" s="1"/>
  <c r="AN7" i="3" s="1"/>
  <c r="AO7" i="3" s="1"/>
  <c r="AP7" i="3" s="1"/>
  <c r="AQ7" i="3" s="1"/>
  <c r="AK8" i="3" s="1"/>
  <c r="AL8" i="3" s="1"/>
  <c r="AM8" i="3" s="1"/>
  <c r="AN8" i="3" s="1"/>
  <c r="AO8" i="3" s="1"/>
  <c r="AP8" i="3" s="1"/>
  <c r="AQ8" i="3" s="1"/>
  <c r="W22" i="3"/>
  <c r="X22" i="3" s="1"/>
  <c r="Y22" i="3" s="1"/>
  <c r="Z22" i="3" s="1"/>
  <c r="AA22" i="3" s="1"/>
  <c r="AB22" i="3" s="1"/>
  <c r="AC22" i="3" s="1"/>
  <c r="W23" i="3" s="1"/>
  <c r="X23" i="3" s="1"/>
  <c r="Y23" i="3" s="1"/>
  <c r="Z23" i="3" s="1"/>
  <c r="AA23" i="3" s="1"/>
  <c r="AB23" i="3" s="1"/>
  <c r="AC23" i="3" s="1"/>
  <c r="W24" i="3" s="1"/>
  <c r="X24" i="3" s="1"/>
  <c r="Y24" i="3" s="1"/>
  <c r="Z24" i="3" s="1"/>
  <c r="AA24" i="3" s="1"/>
  <c r="AB24" i="3" s="1"/>
  <c r="AC24" i="3" s="1"/>
  <c r="W25" i="3" s="1"/>
  <c r="X25" i="3" s="1"/>
  <c r="Y25" i="3" s="1"/>
  <c r="Z25" i="3" s="1"/>
  <c r="AA25" i="3" s="1"/>
  <c r="AB25" i="3" s="1"/>
  <c r="AC25" i="3" s="1"/>
  <c r="W26" i="3" s="1"/>
  <c r="X26" i="3" s="1"/>
  <c r="Y26" i="3" s="1"/>
  <c r="Z26" i="3" s="1"/>
  <c r="AA26" i="3" s="1"/>
  <c r="AB26" i="3" s="1"/>
  <c r="AC26" i="3" s="1"/>
  <c r="W4" i="3"/>
  <c r="X4" i="3" s="1"/>
  <c r="Y4" i="3" s="1"/>
  <c r="Z4" i="3" s="1"/>
  <c r="AA4" i="3" s="1"/>
  <c r="AB4" i="3" s="1"/>
  <c r="AC4" i="3" s="1"/>
  <c r="W5" i="3" s="1"/>
  <c r="X5" i="3" s="1"/>
  <c r="Y5" i="3" s="1"/>
  <c r="Z5" i="3" s="1"/>
  <c r="AA5" i="3" s="1"/>
  <c r="AB5" i="3" s="1"/>
  <c r="AC5" i="3" s="1"/>
  <c r="W6" i="3" s="1"/>
  <c r="X6" i="3" s="1"/>
  <c r="Y6" i="3" s="1"/>
  <c r="Z6" i="3" s="1"/>
  <c r="AA6" i="3" s="1"/>
  <c r="AB6" i="3" s="1"/>
  <c r="AC6" i="3" s="1"/>
  <c r="W7" i="3" s="1"/>
  <c r="X7" i="3" s="1"/>
  <c r="Y7" i="3" s="1"/>
  <c r="Z7" i="3" s="1"/>
  <c r="AA7" i="3" s="1"/>
  <c r="AB7" i="3" s="1"/>
  <c r="AC7" i="3" s="1"/>
  <c r="W8" i="3" s="1"/>
  <c r="X8" i="3" s="1"/>
  <c r="Y8" i="3" s="1"/>
  <c r="Z8" i="3" s="1"/>
  <c r="AA8" i="3" s="1"/>
  <c r="AB8" i="3" s="1"/>
  <c r="AC8" i="3" s="1"/>
  <c r="AK22" i="3"/>
  <c r="AL22" i="3" s="1"/>
  <c r="AM22" i="3" s="1"/>
  <c r="AN22" i="3" s="1"/>
  <c r="AO22" i="3" s="1"/>
  <c r="AP22" i="3" s="1"/>
  <c r="AQ22" i="3" s="1"/>
  <c r="AK23" i="3" s="1"/>
  <c r="AL23" i="3" s="1"/>
  <c r="AM23" i="3" s="1"/>
  <c r="AN23" i="3" s="1"/>
  <c r="AO23" i="3" s="1"/>
  <c r="AP23" i="3" s="1"/>
  <c r="AQ23" i="3" s="1"/>
  <c r="AK24" i="3" s="1"/>
  <c r="AL24" i="3" s="1"/>
  <c r="AM24" i="3" s="1"/>
  <c r="AN24" i="3" s="1"/>
  <c r="AO24" i="3" s="1"/>
  <c r="AP24" i="3" s="1"/>
  <c r="AQ24" i="3" s="1"/>
  <c r="AK25" i="3" s="1"/>
  <c r="AL25" i="3" s="1"/>
  <c r="AM25" i="3" s="1"/>
  <c r="AN25" i="3" s="1"/>
  <c r="AO25" i="3" s="1"/>
  <c r="AP25" i="3" s="1"/>
  <c r="AQ25" i="3" s="1"/>
  <c r="AK26" i="3" s="1"/>
  <c r="AL26" i="3" s="1"/>
  <c r="AM26" i="3" s="1"/>
  <c r="AN26" i="3" s="1"/>
  <c r="AO26" i="3" s="1"/>
  <c r="AP26" i="3" s="1"/>
  <c r="AQ26" i="3" s="1"/>
  <c r="I4" i="3"/>
  <c r="J4" i="3" s="1"/>
  <c r="K4" i="3" s="1"/>
  <c r="L4" i="3" s="1"/>
  <c r="M4" i="3" s="1"/>
  <c r="N4" i="3" s="1"/>
  <c r="O4" i="3" s="1"/>
  <c r="I5" i="3" s="1"/>
  <c r="J5" i="3" s="1"/>
  <c r="K5" i="3" s="1"/>
  <c r="L5" i="3" s="1"/>
  <c r="M5" i="3" s="1"/>
  <c r="N5" i="3" s="1"/>
  <c r="O5" i="3" s="1"/>
  <c r="I6" i="3" s="1"/>
  <c r="J6" i="3" s="1"/>
  <c r="K6" i="3" s="1"/>
  <c r="L6" i="3" s="1"/>
  <c r="M6" i="3" s="1"/>
  <c r="N6" i="3" s="1"/>
  <c r="O6" i="3" s="1"/>
  <c r="I7" i="3" s="1"/>
  <c r="J7" i="3" s="1"/>
  <c r="K7" i="3" s="1"/>
  <c r="L7" i="3" s="1"/>
  <c r="M7" i="3" s="1"/>
  <c r="N7" i="3" s="1"/>
  <c r="O7" i="3" s="1"/>
  <c r="I8" i="3" s="1"/>
  <c r="J8" i="3" s="1"/>
  <c r="K8" i="3" s="1"/>
  <c r="L8" i="3" s="1"/>
  <c r="M8" i="3" s="1"/>
  <c r="N8" i="3" s="1"/>
  <c r="O8" i="3" s="1"/>
  <c r="AY22" i="3"/>
  <c r="AZ22" i="3" s="1"/>
  <c r="BA22" i="3" s="1"/>
  <c r="BB22" i="3" s="1"/>
  <c r="BC22" i="3" s="1"/>
  <c r="BD22" i="3" s="1"/>
  <c r="BE22" i="3" s="1"/>
  <c r="AY23" i="3" s="1"/>
  <c r="AZ23" i="3" s="1"/>
  <c r="BA23" i="3" s="1"/>
  <c r="BB23" i="3" s="1"/>
  <c r="BC23" i="3" s="1"/>
  <c r="BD23" i="3" s="1"/>
  <c r="BE23" i="3" s="1"/>
  <c r="AY24" i="3" s="1"/>
  <c r="AZ24" i="3" s="1"/>
  <c r="BA24" i="3" s="1"/>
  <c r="BB24" i="3" s="1"/>
  <c r="BC24" i="3" s="1"/>
  <c r="BD24" i="3" s="1"/>
  <c r="BE24" i="3" s="1"/>
  <c r="AY25" i="3" s="1"/>
  <c r="AZ25" i="3" s="1"/>
  <c r="BA25" i="3" s="1"/>
  <c r="BB25" i="3" s="1"/>
  <c r="BC25" i="3" s="1"/>
  <c r="BD25" i="3" s="1"/>
  <c r="BE25" i="3" s="1"/>
  <c r="AY26" i="3" s="1"/>
  <c r="AZ26" i="3" s="1"/>
  <c r="BA26" i="3" s="1"/>
  <c r="BB26" i="3" s="1"/>
  <c r="BC26" i="3" s="1"/>
  <c r="BD26" i="3" s="1"/>
  <c r="BE26" i="3" s="1"/>
  <c r="AK13" i="3"/>
  <c r="AL13" i="3" s="1"/>
  <c r="AM13" i="3" s="1"/>
  <c r="AN13" i="3" s="1"/>
  <c r="AO13" i="3" s="1"/>
  <c r="AP13" i="3" s="1"/>
  <c r="AQ13" i="3" s="1"/>
  <c r="AK14" i="3" s="1"/>
  <c r="AL14" i="3" s="1"/>
  <c r="AM14" i="3" s="1"/>
  <c r="AN14" i="3" s="1"/>
  <c r="AO14" i="3" s="1"/>
  <c r="AP14" i="3" s="1"/>
  <c r="AQ14" i="3" s="1"/>
  <c r="AK15" i="3" s="1"/>
  <c r="AL15" i="3" s="1"/>
  <c r="AM15" i="3" s="1"/>
  <c r="AN15" i="3" s="1"/>
  <c r="AO15" i="3" s="1"/>
  <c r="AP15" i="3" s="1"/>
  <c r="AQ15" i="3" s="1"/>
  <c r="AK16" i="3" s="1"/>
  <c r="AL16" i="3" s="1"/>
  <c r="AM16" i="3" s="1"/>
  <c r="AN16" i="3" s="1"/>
  <c r="AO16" i="3" s="1"/>
  <c r="AP16" i="3" s="1"/>
  <c r="AQ16" i="3" s="1"/>
  <c r="AK17" i="3" s="1"/>
  <c r="AL17" i="3" s="1"/>
  <c r="AM17" i="3" s="1"/>
  <c r="AN17" i="3" s="1"/>
  <c r="AO17" i="3" s="1"/>
  <c r="AP17" i="3" s="1"/>
  <c r="AQ17" i="3" s="1"/>
  <c r="AY4" i="3"/>
  <c r="AZ4" i="3" s="1"/>
  <c r="BA4" i="3" s="1"/>
  <c r="BB4" i="3" s="1"/>
  <c r="BC4" i="3" s="1"/>
  <c r="BD4" i="3" s="1"/>
  <c r="BE4" i="3" s="1"/>
  <c r="AY5" i="3" s="1"/>
  <c r="AZ5" i="3" s="1"/>
  <c r="BA5" i="3" s="1"/>
  <c r="BB5" i="3" s="1"/>
  <c r="BC5" i="3" s="1"/>
  <c r="BD5" i="3" s="1"/>
  <c r="BE5" i="3" s="1"/>
  <c r="AY6" i="3" s="1"/>
  <c r="AZ6" i="3" s="1"/>
  <c r="BA6" i="3" s="1"/>
  <c r="BB6" i="3" s="1"/>
  <c r="BC6" i="3" s="1"/>
  <c r="BD6" i="3" s="1"/>
  <c r="BE6" i="3" s="1"/>
  <c r="AY7" i="3" s="1"/>
  <c r="AZ7" i="3" s="1"/>
  <c r="BA7" i="3" s="1"/>
  <c r="BB7" i="3" s="1"/>
  <c r="BC7" i="3" s="1"/>
  <c r="BD7" i="3" s="1"/>
  <c r="BE7" i="3" s="1"/>
  <c r="AY8" i="3" s="1"/>
  <c r="AZ8" i="3" s="1"/>
  <c r="BA8" i="3" s="1"/>
  <c r="BB8" i="3" s="1"/>
  <c r="BC8" i="3" s="1"/>
  <c r="BD8" i="3" s="1"/>
  <c r="BE8" i="3" s="1"/>
  <c r="AY13" i="3"/>
  <c r="AZ13" i="3" s="1"/>
  <c r="BA13" i="3" s="1"/>
  <c r="BB13" i="3" s="1"/>
  <c r="BC13" i="3" s="1"/>
  <c r="BD13" i="3" s="1"/>
  <c r="BE13" i="3" s="1"/>
  <c r="AY14" i="3" s="1"/>
  <c r="AZ14" i="3" s="1"/>
  <c r="BA14" i="3" s="1"/>
  <c r="BB14" i="3" s="1"/>
  <c r="BC14" i="3" s="1"/>
  <c r="BD14" i="3" s="1"/>
  <c r="BE14" i="3" s="1"/>
  <c r="AY15" i="3" s="1"/>
  <c r="AZ15" i="3" s="1"/>
  <c r="BA15" i="3" s="1"/>
  <c r="BB15" i="3" s="1"/>
  <c r="BC15" i="3" s="1"/>
  <c r="BD15" i="3" s="1"/>
  <c r="BE15" i="3" s="1"/>
  <c r="AY16" i="3" s="1"/>
  <c r="AZ16" i="3" s="1"/>
  <c r="BA16" i="3" s="1"/>
  <c r="BB16" i="3" s="1"/>
  <c r="BC16" i="3" s="1"/>
  <c r="BD16" i="3" s="1"/>
  <c r="BE16" i="3" s="1"/>
  <c r="AY17" i="3" s="1"/>
  <c r="AZ17" i="3" s="1"/>
  <c r="BA17" i="3" s="1"/>
  <c r="BB17" i="3" s="1"/>
  <c r="BC17" i="3" s="1"/>
  <c r="BD17" i="3" s="1"/>
  <c r="BE17" i="3" s="1"/>
  <c r="I22" i="3"/>
  <c r="J22" i="3" s="1"/>
  <c r="K22" i="3" s="1"/>
  <c r="L22" i="3" s="1"/>
  <c r="M22" i="3" s="1"/>
  <c r="N22" i="3" s="1"/>
  <c r="O22" i="3" s="1"/>
  <c r="I23" i="3" s="1"/>
  <c r="J23" i="3" s="1"/>
  <c r="K23" i="3" s="1"/>
  <c r="L23" i="3" s="1"/>
  <c r="M23" i="3" s="1"/>
  <c r="N23" i="3" s="1"/>
  <c r="O23" i="3" s="1"/>
  <c r="I24" i="3" s="1"/>
  <c r="J24" i="3" s="1"/>
  <c r="K24" i="3" s="1"/>
  <c r="L24" i="3" s="1"/>
  <c r="M24" i="3" s="1"/>
  <c r="N24" i="3" s="1"/>
  <c r="O24" i="3" s="1"/>
  <c r="I25" i="3" s="1"/>
  <c r="J25" i="3" s="1"/>
  <c r="K25" i="3" s="1"/>
  <c r="L25" i="3" s="1"/>
  <c r="M25" i="3" s="1"/>
  <c r="N25" i="3" s="1"/>
  <c r="O25" i="3" s="1"/>
  <c r="I26" i="3" s="1"/>
  <c r="J26" i="3" s="1"/>
  <c r="K26" i="3" s="1"/>
  <c r="L26" i="3" s="1"/>
  <c r="M26" i="3" s="1"/>
  <c r="N26" i="3" s="1"/>
  <c r="O26" i="3" s="1"/>
  <c r="BH20" i="3"/>
  <c r="I13" i="3"/>
  <c r="J13" i="3" s="1"/>
  <c r="K13" i="3" s="1"/>
  <c r="L13" i="3" s="1"/>
  <c r="M13" i="3" s="1"/>
  <c r="N13" i="3" s="1"/>
  <c r="O13" i="3" s="1"/>
  <c r="I14" i="3" s="1"/>
  <c r="J14" i="3" s="1"/>
  <c r="K14" i="3" s="1"/>
  <c r="L14" i="3" s="1"/>
  <c r="M14" i="3" s="1"/>
  <c r="N14" i="3" s="1"/>
  <c r="O14" i="3" s="1"/>
  <c r="I15" i="3" s="1"/>
  <c r="J15" i="3" s="1"/>
  <c r="K15" i="3" s="1"/>
  <c r="L15" i="3" s="1"/>
  <c r="M15" i="3" s="1"/>
  <c r="N15" i="3" s="1"/>
  <c r="O15" i="3" s="1"/>
  <c r="I16" i="3" s="1"/>
  <c r="J16" i="3" s="1"/>
  <c r="K16" i="3" s="1"/>
  <c r="L16" i="3" s="1"/>
  <c r="M16" i="3" s="1"/>
  <c r="N16" i="3" s="1"/>
  <c r="O16" i="3" s="1"/>
  <c r="I17" i="3" s="1"/>
  <c r="J17" i="3" s="1"/>
  <c r="K17" i="3" s="1"/>
  <c r="L17" i="3" s="1"/>
  <c r="M17" i="3" s="1"/>
  <c r="N17" i="3" s="1"/>
  <c r="O17" i="3" s="1"/>
  <c r="W13" i="3"/>
  <c r="X13" i="3" s="1"/>
  <c r="Y13" i="3" s="1"/>
  <c r="Z13" i="3" s="1"/>
  <c r="AA13" i="3" s="1"/>
  <c r="AB13" i="3" s="1"/>
  <c r="AC13" i="3" s="1"/>
  <c r="W14" i="3" s="1"/>
  <c r="X14" i="3" s="1"/>
  <c r="Y14" i="3" s="1"/>
  <c r="Z14" i="3" s="1"/>
  <c r="AA14" i="3" s="1"/>
  <c r="AB14" i="3" s="1"/>
  <c r="AC14" i="3" s="1"/>
  <c r="W15" i="3" s="1"/>
  <c r="X15" i="3" s="1"/>
  <c r="Y15" i="3" s="1"/>
  <c r="Z15" i="3" s="1"/>
  <c r="AA15" i="3" s="1"/>
  <c r="AB15" i="3" s="1"/>
  <c r="AC15" i="3" s="1"/>
  <c r="W16" i="3" s="1"/>
  <c r="X16" i="3" s="1"/>
  <c r="Y16" i="3" s="1"/>
  <c r="Z16" i="3" s="1"/>
  <c r="AA16" i="3" s="1"/>
  <c r="AB16" i="3" s="1"/>
  <c r="AC16" i="3" s="1"/>
  <c r="W17" i="3" s="1"/>
  <c r="X17" i="3" s="1"/>
  <c r="Y17" i="3" s="1"/>
  <c r="Z17" i="3" s="1"/>
  <c r="AA17" i="3" s="1"/>
  <c r="AB17" i="3" s="1"/>
  <c r="AC17" i="3" s="1"/>
  <c r="BH20" i="1"/>
  <c r="AW19" i="1"/>
  <c r="AY21" i="1" s="1"/>
  <c r="AZ21" i="1" s="1"/>
  <c r="BA21" i="1" s="1"/>
  <c r="BB21" i="1" s="1"/>
  <c r="BC21" i="1" s="1"/>
  <c r="BD21" i="1" s="1"/>
  <c r="BE21" i="1" s="1"/>
  <c r="AI19" i="1"/>
  <c r="AK21" i="1" s="1"/>
  <c r="AL21" i="1" s="1"/>
  <c r="AM21" i="1" s="1"/>
  <c r="AN21" i="1" s="1"/>
  <c r="AO21" i="1" s="1"/>
  <c r="AP21" i="1" s="1"/>
  <c r="AQ21" i="1" s="1"/>
  <c r="U19" i="1"/>
  <c r="W21" i="1" s="1"/>
  <c r="X21" i="1" s="1"/>
  <c r="Y21" i="1" s="1"/>
  <c r="Z21" i="1" s="1"/>
  <c r="AA21" i="1" s="1"/>
  <c r="AB21" i="1" s="1"/>
  <c r="AC21" i="1" s="1"/>
  <c r="G19" i="1"/>
  <c r="I21" i="1" s="1"/>
  <c r="J21" i="1" s="1"/>
  <c r="K21" i="1" s="1"/>
  <c r="L21" i="1" s="1"/>
  <c r="M21" i="1" s="1"/>
  <c r="N21" i="1" s="1"/>
  <c r="O21" i="1" s="1"/>
  <c r="AW10" i="1"/>
  <c r="AY12" i="1" s="1"/>
  <c r="AZ12" i="1" s="1"/>
  <c r="BA12" i="1" s="1"/>
  <c r="BB12" i="1" s="1"/>
  <c r="BC12" i="1" s="1"/>
  <c r="BD12" i="1" s="1"/>
  <c r="BE12" i="1" s="1"/>
  <c r="AI10" i="1"/>
  <c r="AK12" i="1" s="1"/>
  <c r="AL12" i="1" s="1"/>
  <c r="AM12" i="1" s="1"/>
  <c r="AN12" i="1" s="1"/>
  <c r="AO12" i="1" s="1"/>
  <c r="AP12" i="1" s="1"/>
  <c r="AQ12" i="1" s="1"/>
  <c r="U10" i="1"/>
  <c r="W12" i="1" s="1"/>
  <c r="X12" i="1" s="1"/>
  <c r="Y12" i="1" s="1"/>
  <c r="Z12" i="1" s="1"/>
  <c r="AA12" i="1" s="1"/>
  <c r="AB12" i="1" s="1"/>
  <c r="AC12" i="1" s="1"/>
  <c r="G10" i="1"/>
  <c r="I12" i="1" s="1"/>
  <c r="J12" i="1" s="1"/>
  <c r="K12" i="1" s="1"/>
  <c r="L12" i="1" s="1"/>
  <c r="M12" i="1" s="1"/>
  <c r="N12" i="1" s="1"/>
  <c r="O12" i="1" s="1"/>
  <c r="AW1" i="1"/>
  <c r="AY3" i="1" s="1"/>
  <c r="AZ3" i="1" s="1"/>
  <c r="BA3" i="1" s="1"/>
  <c r="BB3" i="1" s="1"/>
  <c r="BC3" i="1" s="1"/>
  <c r="BD3" i="1" s="1"/>
  <c r="BE3" i="1" s="1"/>
  <c r="AI1" i="1"/>
  <c r="AK3" i="1" s="1"/>
  <c r="AL3" i="1" s="1"/>
  <c r="AM3" i="1" s="1"/>
  <c r="AN3" i="1" s="1"/>
  <c r="AO3" i="1" s="1"/>
  <c r="AP3" i="1" s="1"/>
  <c r="AQ3" i="1" s="1"/>
  <c r="U1" i="1"/>
  <c r="W3" i="1" s="1"/>
  <c r="X3" i="1" s="1"/>
  <c r="Y3" i="1" s="1"/>
  <c r="Z3" i="1" s="1"/>
  <c r="AA3" i="1" s="1"/>
  <c r="AB3" i="1" s="1"/>
  <c r="AC3" i="1" s="1"/>
  <c r="G1" i="1"/>
  <c r="I3" i="1" s="1"/>
  <c r="J3" i="1" s="1"/>
  <c r="K3" i="1" s="1"/>
  <c r="L3" i="1" s="1"/>
  <c r="M3" i="1" s="1"/>
  <c r="N3" i="1" s="1"/>
  <c r="O3" i="1" s="1"/>
  <c r="Q1" i="1"/>
  <c r="T1" i="1" s="1"/>
  <c r="AS19" i="1"/>
  <c r="AV19" i="1" s="1"/>
  <c r="AE19" i="1"/>
  <c r="AH19" i="1" s="1"/>
  <c r="Q19" i="1"/>
  <c r="T19" i="1" s="1"/>
  <c r="C19" i="1"/>
  <c r="F19" i="1" s="1"/>
  <c r="AS10" i="1"/>
  <c r="AV10" i="1" s="1"/>
  <c r="AE10" i="1"/>
  <c r="AH10" i="1" s="1"/>
  <c r="Q10" i="1"/>
  <c r="T10" i="1" s="1"/>
  <c r="C10" i="1"/>
  <c r="F10" i="1" s="1"/>
  <c r="AS1" i="1"/>
  <c r="AV1" i="1" s="1"/>
  <c r="AE1" i="1"/>
  <c r="AH1" i="1" s="1"/>
  <c r="C3" i="1"/>
  <c r="F1" i="1" s="1"/>
  <c r="B3" i="1"/>
  <c r="AY22" i="1" l="1"/>
  <c r="AZ22" i="1" s="1"/>
  <c r="BA22" i="1" s="1"/>
  <c r="BB22" i="1" s="1"/>
  <c r="BC22" i="1" s="1"/>
  <c r="BD22" i="1" s="1"/>
  <c r="BE22" i="1" s="1"/>
  <c r="AY23" i="1" s="1"/>
  <c r="AZ23" i="1" s="1"/>
  <c r="BA23" i="1" s="1"/>
  <c r="BB23" i="1" s="1"/>
  <c r="BC23" i="1" s="1"/>
  <c r="BD23" i="1" s="1"/>
  <c r="BE23" i="1" s="1"/>
  <c r="AY24" i="1" s="1"/>
  <c r="AZ24" i="1" s="1"/>
  <c r="BA24" i="1" s="1"/>
  <c r="BB24" i="1" s="1"/>
  <c r="BC24" i="1" s="1"/>
  <c r="BD24" i="1" s="1"/>
  <c r="BE24" i="1" s="1"/>
  <c r="AY25" i="1" s="1"/>
  <c r="AZ25" i="1" s="1"/>
  <c r="BA25" i="1" s="1"/>
  <c r="BB25" i="1" s="1"/>
  <c r="BC25" i="1" s="1"/>
  <c r="BD25" i="1" s="1"/>
  <c r="BE25" i="1" s="1"/>
  <c r="AY26" i="1" s="1"/>
  <c r="AZ26" i="1" s="1"/>
  <c r="BA26" i="1" s="1"/>
  <c r="BB26" i="1" s="1"/>
  <c r="BC26" i="1" s="1"/>
  <c r="BD26" i="1" s="1"/>
  <c r="BE26" i="1" s="1"/>
  <c r="AK22" i="1"/>
  <c r="AL22" i="1" s="1"/>
  <c r="AM22" i="1" s="1"/>
  <c r="AN22" i="1" s="1"/>
  <c r="AO22" i="1" s="1"/>
  <c r="AP22" i="1" s="1"/>
  <c r="AQ22" i="1" s="1"/>
  <c r="AK23" i="1" s="1"/>
  <c r="AL23" i="1" s="1"/>
  <c r="AM23" i="1" s="1"/>
  <c r="AN23" i="1" s="1"/>
  <c r="AO23" i="1" s="1"/>
  <c r="AP23" i="1" s="1"/>
  <c r="AQ23" i="1" s="1"/>
  <c r="AK24" i="1" s="1"/>
  <c r="AL24" i="1" s="1"/>
  <c r="AM24" i="1" s="1"/>
  <c r="AN24" i="1" s="1"/>
  <c r="AO24" i="1" s="1"/>
  <c r="AP24" i="1" s="1"/>
  <c r="AQ24" i="1" s="1"/>
  <c r="AK25" i="1" s="1"/>
  <c r="AL25" i="1" s="1"/>
  <c r="AM25" i="1" s="1"/>
  <c r="AN25" i="1" s="1"/>
  <c r="AO25" i="1" s="1"/>
  <c r="AP25" i="1" s="1"/>
  <c r="AQ25" i="1" s="1"/>
  <c r="AK26" i="1" s="1"/>
  <c r="AL26" i="1" s="1"/>
  <c r="AM26" i="1" s="1"/>
  <c r="AN26" i="1" s="1"/>
  <c r="AO26" i="1" s="1"/>
  <c r="AP26" i="1" s="1"/>
  <c r="AQ26" i="1" s="1"/>
  <c r="W22" i="1"/>
  <c r="X22" i="1" s="1"/>
  <c r="Y22" i="1" s="1"/>
  <c r="Z22" i="1" s="1"/>
  <c r="AA22" i="1" s="1"/>
  <c r="AB22" i="1" s="1"/>
  <c r="AC22" i="1" s="1"/>
  <c r="W23" i="1" s="1"/>
  <c r="X23" i="1" s="1"/>
  <c r="Y23" i="1" s="1"/>
  <c r="Z23" i="1" s="1"/>
  <c r="AA23" i="1" s="1"/>
  <c r="AB23" i="1" s="1"/>
  <c r="AC23" i="1" s="1"/>
  <c r="W24" i="1" s="1"/>
  <c r="X24" i="1" s="1"/>
  <c r="Y24" i="1" s="1"/>
  <c r="Z24" i="1" s="1"/>
  <c r="AA24" i="1" s="1"/>
  <c r="AB24" i="1" s="1"/>
  <c r="AC24" i="1" s="1"/>
  <c r="W25" i="1" s="1"/>
  <c r="X25" i="1" s="1"/>
  <c r="Y25" i="1" s="1"/>
  <c r="Z25" i="1" s="1"/>
  <c r="AA25" i="1" s="1"/>
  <c r="AB25" i="1" s="1"/>
  <c r="AC25" i="1" s="1"/>
  <c r="W26" i="1" s="1"/>
  <c r="X26" i="1" s="1"/>
  <c r="Y26" i="1" s="1"/>
  <c r="Z26" i="1" s="1"/>
  <c r="AA26" i="1" s="1"/>
  <c r="AB26" i="1" s="1"/>
  <c r="AC26" i="1" s="1"/>
  <c r="AY13" i="1"/>
  <c r="AZ13" i="1" s="1"/>
  <c r="BA13" i="1" s="1"/>
  <c r="BB13" i="1" s="1"/>
  <c r="BC13" i="1" s="1"/>
  <c r="BD13" i="1" s="1"/>
  <c r="BE13" i="1" s="1"/>
  <c r="AY14" i="1" s="1"/>
  <c r="AZ14" i="1" s="1"/>
  <c r="BA14" i="1" s="1"/>
  <c r="BB14" i="1" s="1"/>
  <c r="BC14" i="1" s="1"/>
  <c r="BD14" i="1" s="1"/>
  <c r="AK13" i="1"/>
  <c r="AL13" i="1" s="1"/>
  <c r="AM13" i="1" s="1"/>
  <c r="AN13" i="1" s="1"/>
  <c r="AO13" i="1" s="1"/>
  <c r="AP13" i="1" s="1"/>
  <c r="AQ13" i="1" s="1"/>
  <c r="AK14" i="1" s="1"/>
  <c r="AL14" i="1" s="1"/>
  <c r="AM14" i="1" s="1"/>
  <c r="AN14" i="1" s="1"/>
  <c r="AO14" i="1" s="1"/>
  <c r="AP14" i="1" s="1"/>
  <c r="AQ14" i="1" s="1"/>
  <c r="AK15" i="1" s="1"/>
  <c r="AL15" i="1" s="1"/>
  <c r="AM15" i="1" s="1"/>
  <c r="AN15" i="1" s="1"/>
  <c r="AO15" i="1" s="1"/>
  <c r="AP15" i="1" s="1"/>
  <c r="AQ15" i="1" s="1"/>
  <c r="AK16" i="1" s="1"/>
  <c r="AL16" i="1" s="1"/>
  <c r="AM16" i="1" s="1"/>
  <c r="AN16" i="1" s="1"/>
  <c r="AO16" i="1" s="1"/>
  <c r="AP16" i="1" s="1"/>
  <c r="AQ16" i="1" s="1"/>
  <c r="AK17" i="1" s="1"/>
  <c r="AL17" i="1" s="1"/>
  <c r="AM17" i="1" s="1"/>
  <c r="AN17" i="1" s="1"/>
  <c r="AO17" i="1" s="1"/>
  <c r="AP17" i="1" s="1"/>
  <c r="AQ17" i="1" s="1"/>
  <c r="W13" i="1"/>
  <c r="X13" i="1" s="1"/>
  <c r="Y13" i="1" s="1"/>
  <c r="Z13" i="1" s="1"/>
  <c r="AA13" i="1" s="1"/>
  <c r="AB13" i="1" s="1"/>
  <c r="AC13" i="1" s="1"/>
  <c r="W14" i="1" s="1"/>
  <c r="X14" i="1" s="1"/>
  <c r="Y14" i="1" s="1"/>
  <c r="I13" i="1"/>
  <c r="J13" i="1" s="1"/>
  <c r="K13" i="1" s="1"/>
  <c r="L13" i="1" s="1"/>
  <c r="M13" i="1" s="1"/>
  <c r="N13" i="1" s="1"/>
  <c r="O13" i="1" s="1"/>
  <c r="I14" i="1" s="1"/>
  <c r="J14" i="1" s="1"/>
  <c r="K14" i="1" s="1"/>
  <c r="L14" i="1" s="1"/>
  <c r="M14" i="1" s="1"/>
  <c r="N14" i="1" s="1"/>
  <c r="O14" i="1" s="1"/>
  <c r="I15" i="1" s="1"/>
  <c r="J15" i="1" s="1"/>
  <c r="K15" i="1" s="1"/>
  <c r="L15" i="1" s="1"/>
  <c r="M15" i="1" s="1"/>
  <c r="N15" i="1" s="1"/>
  <c r="O15" i="1" s="1"/>
  <c r="I16" i="1" s="1"/>
  <c r="J16" i="1" s="1"/>
  <c r="K16" i="1" s="1"/>
  <c r="L16" i="1" s="1"/>
  <c r="M16" i="1" s="1"/>
  <c r="N16" i="1" s="1"/>
  <c r="O16" i="1" s="1"/>
  <c r="I17" i="1" s="1"/>
  <c r="J17" i="1" s="1"/>
  <c r="K17" i="1" s="1"/>
  <c r="L17" i="1" s="1"/>
  <c r="M17" i="1" s="1"/>
  <c r="N17" i="1" s="1"/>
  <c r="O17" i="1" s="1"/>
  <c r="I22" i="1"/>
  <c r="J22" i="1" s="1"/>
  <c r="K22" i="1" s="1"/>
  <c r="L22" i="1" s="1"/>
  <c r="M22" i="1" s="1"/>
  <c r="N22" i="1" s="1"/>
  <c r="O22" i="1" s="1"/>
  <c r="I23" i="1" s="1"/>
  <c r="J23" i="1" s="1"/>
  <c r="K23" i="1" s="1"/>
  <c r="L23" i="1" s="1"/>
  <c r="M23" i="1" s="1"/>
  <c r="N23" i="1" s="1"/>
  <c r="O23" i="1" s="1"/>
  <c r="I24" i="1" s="1"/>
  <c r="J24" i="1" s="1"/>
  <c r="K24" i="1" s="1"/>
  <c r="L24" i="1" s="1"/>
  <c r="M24" i="1" s="1"/>
  <c r="N24" i="1" s="1"/>
  <c r="O24" i="1" s="1"/>
  <c r="I25" i="1" s="1"/>
  <c r="J25" i="1" s="1"/>
  <c r="K25" i="1" s="1"/>
  <c r="L25" i="1" s="1"/>
  <c r="M25" i="1" s="1"/>
  <c r="N25" i="1" s="1"/>
  <c r="O25" i="1" s="1"/>
  <c r="I26" i="1" s="1"/>
  <c r="J26" i="1" s="1"/>
  <c r="K26" i="1" s="1"/>
  <c r="L26" i="1" s="1"/>
  <c r="M26" i="1" s="1"/>
  <c r="N26" i="1" s="1"/>
  <c r="O26" i="1" s="1"/>
  <c r="I4" i="1"/>
  <c r="J4" i="1" s="1"/>
  <c r="K4" i="1" s="1"/>
  <c r="L4" i="1" s="1"/>
  <c r="M4" i="1" s="1"/>
  <c r="N4" i="1" s="1"/>
  <c r="O4" i="1" s="1"/>
  <c r="I5" i="1" s="1"/>
  <c r="J5" i="1" s="1"/>
  <c r="K5" i="1" s="1"/>
  <c r="L5" i="1" s="1"/>
  <c r="M5" i="1" s="1"/>
  <c r="N5" i="1" s="1"/>
  <c r="O5" i="1" s="1"/>
  <c r="I6" i="1" s="1"/>
  <c r="AY4" i="1"/>
  <c r="AZ4" i="1" s="1"/>
  <c r="BA4" i="1" s="1"/>
  <c r="BB4" i="1" s="1"/>
  <c r="BC4" i="1" s="1"/>
  <c r="BD4" i="1" s="1"/>
  <c r="BE4" i="1" s="1"/>
  <c r="AY5" i="1" s="1"/>
  <c r="AZ5" i="1" s="1"/>
  <c r="BA5" i="1" s="1"/>
  <c r="BB5" i="1" s="1"/>
  <c r="AK4" i="1"/>
  <c r="AL4" i="1" s="1"/>
  <c r="AM4" i="1" s="1"/>
  <c r="AN4" i="1" s="1"/>
  <c r="AO4" i="1" s="1"/>
  <c r="AP4" i="1" s="1"/>
  <c r="AQ4" i="1" s="1"/>
  <c r="AK5" i="1" s="1"/>
  <c r="AL5" i="1" s="1"/>
  <c r="AM5" i="1" s="1"/>
  <c r="W4" i="1"/>
  <c r="X4" i="1" s="1"/>
  <c r="Y4" i="1" s="1"/>
  <c r="Z4" i="1" s="1"/>
  <c r="AA4" i="1" s="1"/>
  <c r="AB4" i="1" s="1"/>
  <c r="AC4" i="1" s="1"/>
  <c r="W5" i="1" s="1"/>
  <c r="X5" i="1" s="1"/>
  <c r="Y5" i="1" s="1"/>
  <c r="Z5" i="1" s="1"/>
  <c r="AA5" i="1" s="1"/>
  <c r="AB5" i="1" s="1"/>
  <c r="AC5" i="1" s="1"/>
  <c r="W6" i="1" s="1"/>
  <c r="X6" i="1" s="1"/>
  <c r="Y6" i="1" s="1"/>
  <c r="Z6" i="1" s="1"/>
  <c r="AN5" i="1" l="1"/>
  <c r="AO5" i="1" s="1"/>
  <c r="AP5" i="1" s="1"/>
  <c r="AQ5" i="1" s="1"/>
  <c r="AK6" i="1" s="1"/>
  <c r="AL6" i="1" s="1"/>
  <c r="AM6" i="1" s="1"/>
  <c r="AN6" i="1" s="1"/>
  <c r="AO6" i="1" s="1"/>
  <c r="AP6" i="1" s="1"/>
  <c r="AQ6" i="1" s="1"/>
  <c r="AK7" i="1" s="1"/>
  <c r="AL7" i="1" s="1"/>
  <c r="AM7" i="1" s="1"/>
  <c r="AN7" i="1" s="1"/>
  <c r="AO7" i="1" s="1"/>
  <c r="AP7" i="1" s="1"/>
  <c r="AQ7" i="1" s="1"/>
  <c r="AK8" i="1" s="1"/>
  <c r="AL8" i="1" s="1"/>
  <c r="AM8" i="1" s="1"/>
  <c r="AN8" i="1" s="1"/>
  <c r="AO8" i="1" s="1"/>
  <c r="AP8" i="1" s="1"/>
  <c r="AQ8" i="1" s="1"/>
  <c r="BC5" i="1"/>
  <c r="BD5" i="1" s="1"/>
  <c r="BE5" i="1" s="1"/>
  <c r="AY6" i="1" s="1"/>
  <c r="AZ6" i="1" s="1"/>
  <c r="BA6" i="1" s="1"/>
  <c r="BB6" i="1" s="1"/>
  <c r="BC6" i="1" s="1"/>
  <c r="BD6" i="1" s="1"/>
  <c r="BE6" i="1" s="1"/>
  <c r="AY7" i="1" s="1"/>
  <c r="AZ7" i="1" s="1"/>
  <c r="BA7" i="1" s="1"/>
  <c r="BB7" i="1" s="1"/>
  <c r="BC7" i="1" s="1"/>
  <c r="BD7" i="1" s="1"/>
  <c r="BE7" i="1" s="1"/>
  <c r="AY8" i="1" s="1"/>
  <c r="AZ8" i="1" s="1"/>
  <c r="BA8" i="1" s="1"/>
  <c r="BB8" i="1" s="1"/>
  <c r="BC8" i="1" s="1"/>
  <c r="BD8" i="1" s="1"/>
  <c r="BE8" i="1" s="1"/>
  <c r="J6" i="1"/>
  <c r="K6" i="1" s="1"/>
  <c r="L6" i="1" s="1"/>
  <c r="M6" i="1" s="1"/>
  <c r="N6" i="1" s="1"/>
  <c r="O6" i="1" s="1"/>
  <c r="I7" i="1" s="1"/>
  <c r="J7" i="1" s="1"/>
  <c r="K7" i="1" s="1"/>
  <c r="L7" i="1" s="1"/>
  <c r="M7" i="1" s="1"/>
  <c r="N7" i="1" s="1"/>
  <c r="O7" i="1" s="1"/>
  <c r="I8" i="1" s="1"/>
  <c r="J8" i="1" s="1"/>
  <c r="K8" i="1" s="1"/>
  <c r="L8" i="1" s="1"/>
  <c r="M8" i="1" s="1"/>
  <c r="N8" i="1" s="1"/>
  <c r="O8" i="1" s="1"/>
  <c r="AA6" i="1"/>
  <c r="AB6" i="1" s="1"/>
  <c r="AC6" i="1" s="1"/>
  <c r="W7" i="1" s="1"/>
  <c r="X7" i="1" s="1"/>
  <c r="Y7" i="1" s="1"/>
  <c r="Z7" i="1" s="1"/>
  <c r="AA7" i="1" s="1"/>
  <c r="AB7" i="1" s="1"/>
  <c r="AC7" i="1" s="1"/>
  <c r="W8" i="1" s="1"/>
  <c r="X8" i="1" s="1"/>
  <c r="Y8" i="1" s="1"/>
  <c r="Z8" i="1" s="1"/>
  <c r="AA8" i="1" s="1"/>
  <c r="AB8" i="1" s="1"/>
  <c r="AC8" i="1" s="1"/>
  <c r="Z14" i="1"/>
  <c r="AA14" i="1" s="1"/>
  <c r="AB14" i="1" s="1"/>
  <c r="AC14" i="1" s="1"/>
  <c r="W15" i="1" s="1"/>
  <c r="X15" i="1" s="1"/>
  <c r="Y15" i="1" s="1"/>
  <c r="Z15" i="1" s="1"/>
  <c r="AA15" i="1" s="1"/>
  <c r="AB15" i="1" s="1"/>
  <c r="AC15" i="1" s="1"/>
  <c r="W16" i="1" s="1"/>
  <c r="X16" i="1" s="1"/>
  <c r="Y16" i="1" s="1"/>
  <c r="Z16" i="1" s="1"/>
  <c r="AA16" i="1" s="1"/>
  <c r="AB16" i="1" s="1"/>
  <c r="AC16" i="1" s="1"/>
  <c r="W17" i="1" s="1"/>
  <c r="X17" i="1" s="1"/>
  <c r="Y17" i="1" s="1"/>
  <c r="Z17" i="1" s="1"/>
  <c r="AA17" i="1" s="1"/>
  <c r="AB17" i="1" s="1"/>
  <c r="AC17" i="1" s="1"/>
  <c r="BE14" i="1"/>
  <c r="AY15" i="1" s="1"/>
  <c r="AZ15" i="1" s="1"/>
  <c r="BA15" i="1" l="1"/>
  <c r="BB15" i="1" s="1"/>
  <c r="BC15" i="1" s="1"/>
  <c r="BD15" i="1" s="1"/>
  <c r="BE15" i="1" s="1"/>
  <c r="AY16" i="1" s="1"/>
  <c r="AZ16" i="1" s="1"/>
  <c r="BA16" i="1" s="1"/>
  <c r="BB16" i="1" s="1"/>
  <c r="BC16" i="1" s="1"/>
  <c r="BD16" i="1" s="1"/>
  <c r="BE16" i="1" s="1"/>
  <c r="AY17" i="1" s="1"/>
  <c r="AZ17" i="1" s="1"/>
  <c r="BA17" i="1" s="1"/>
  <c r="BB17" i="1" s="1"/>
  <c r="BC17" i="1" s="1"/>
  <c r="BD17" i="1" s="1"/>
  <c r="BE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<sst xmlns="http://schemas.openxmlformats.org/spreadsheetml/2006/main" count="267" uniqueCount="62">
  <si>
    <t>AÑO</t>
  </si>
  <si>
    <t>BISIESTO</t>
  </si>
  <si>
    <t>ENERO</t>
  </si>
  <si>
    <t>L</t>
  </si>
  <si>
    <t>M</t>
  </si>
  <si>
    <t>X</t>
  </si>
  <si>
    <t>J</t>
  </si>
  <si>
    <t>V</t>
  </si>
  <si>
    <t>S</t>
  </si>
  <si>
    <t>D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</si>
  <si>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</si>
  <si>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</si>
  <si>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</si>
  <si>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</si>
  <si>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</si>
  <si>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</si>
  <si>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</si>
  <si>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</si>
  <si>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</si>
  <si>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</si>
  <si>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</si>
  <si>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</si>
  <si>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Vacaciones</t>
  </si>
  <si>
    <t>Curso</t>
  </si>
  <si>
    <t>Festivo Nacional</t>
  </si>
  <si>
    <t>Festivo Autonomico</t>
  </si>
  <si>
    <t>Festivo Local</t>
  </si>
  <si>
    <t>Compensado</t>
  </si>
  <si>
    <t>Enfermedad /otros</t>
  </si>
  <si>
    <t>Vacaciones  año anterior</t>
  </si>
  <si>
    <t>LEYENDA</t>
  </si>
  <si>
    <t>dias totales</t>
  </si>
  <si>
    <t>dias selecionados</t>
  </si>
  <si>
    <t>dias restantes</t>
  </si>
  <si>
    <t>VACACIONES</t>
  </si>
  <si>
    <t>Festivos</t>
  </si>
  <si>
    <t>Dia</t>
  </si>
  <si>
    <t>Festivo</t>
  </si>
  <si>
    <t>Año Nuevo</t>
  </si>
  <si>
    <t>Mes</t>
  </si>
  <si>
    <t>Reyes</t>
  </si>
  <si>
    <t>Lunes Pascua</t>
  </si>
  <si>
    <t>San Jose</t>
  </si>
  <si>
    <t>Santa Faz</t>
  </si>
  <si>
    <t>Dia Trabajo</t>
  </si>
  <si>
    <t>Dia Constitucion</t>
  </si>
  <si>
    <t>Dia Inmaculada</t>
  </si>
  <si>
    <t>Navidad</t>
  </si>
  <si>
    <t>Dia Hispanidad</t>
  </si>
  <si>
    <t>Dia comunidad Valenciana</t>
  </si>
  <si>
    <t>Asuncion de la Virgen</t>
  </si>
  <si>
    <t>San Juan</t>
  </si>
  <si>
    <t>Fogeres</t>
  </si>
  <si>
    <t>Viernes Santo</t>
  </si>
  <si>
    <t>Tipo</t>
  </si>
  <si>
    <t>N</t>
  </si>
  <si>
    <t>C</t>
  </si>
  <si>
    <t>Num Festivos</t>
  </si>
  <si>
    <t>Ocultar Columnas al terminar</t>
  </si>
  <si>
    <t>Ocultar columnas al terminar</t>
  </si>
  <si>
    <t>Jueves Pascua</t>
  </si>
  <si>
    <t>Todos los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</si>
</sst>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rebuchet MS"/>
      <family val="2"/>
      <charset val="1"/>
    </font>
    <font>
      <sz val="8"/>
      <name val="Century Gothic"/>
      <family val="2"/>
      <charset val="1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9"/>
      <name val="Calibri Light"/>
      <family val="2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6A6A6"/>
      </patternFill>
    </fill>
    <fill>
      <patternFill patternType="solid">
        <fgColor rgb="FF808000"/>
        <bgColor rgb="FFB26314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F2F2F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-0.249977111117893"/>
        <bgColor rgb="FFA6A6A6"/>
      </patternFill>
    </fill>
    <fill>
      <patternFill patternType="darkHorizontal">
        <fgColor rgb="FFFFFF00"/>
        <bgColor indexed="10"/>
      </patternFill>
    </fill>
    <fill>
      <patternFill patternType="lightDown">
        <fgColor indexed="9"/>
        <bgColor indexed="10"/>
      </patternFill>
    </fill>
    <fill>
      <patternFill patternType="darkVertical">
        <fgColor theme="0"/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14" fontId="0" fillId="0" borderId="0" xfId="0" applyNumberFormat="1"/>
    <xf numFmtId="0" fontId="1" fillId="3" borderId="0" xfId="0" applyFont="1" applyFill="1"/>
    <xf numFmtId="0" fontId="0" fillId="2" borderId="1" xfId="0" applyFill="1" applyBorder="1"/>
    <xf numFmtId="0" fontId="0" fillId="0" borderId="0" xfId="0" applyFill="1"/>
    <xf numFmtId="0" fontId="0" fillId="0" borderId="2" xfId="0" applyFill="1" applyBorder="1"/>
    <xf numFmtId="0" fontId="2" fillId="0" borderId="0" xfId="0" applyFont="1" applyBorder="1" applyAlignment="1"/>
    <xf numFmtId="0" fontId="2" fillId="0" borderId="0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2" fillId="0" borderId="8" xfId="0" applyFont="1" applyBorder="1" applyAlignme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3" xfId="0" applyFont="1" applyBorder="1" applyAlignment="1"/>
    <xf numFmtId="0" fontId="3" fillId="8" borderId="15" xfId="0" applyFont="1" applyFill="1" applyBorder="1" applyAlignment="1">
      <alignment vertical="center"/>
    </xf>
    <xf numFmtId="0" fontId="3" fillId="8" borderId="16" xfId="0" applyFont="1" applyFill="1" applyBorder="1" applyAlignment="1">
      <alignment vertical="center"/>
    </xf>
    <xf numFmtId="0" fontId="3" fillId="8" borderId="12" xfId="0" applyFont="1" applyFill="1" applyBorder="1" applyAlignment="1">
      <alignment vertical="center"/>
    </xf>
    <xf numFmtId="0" fontId="2" fillId="0" borderId="3" xfId="0" applyFont="1" applyBorder="1" applyAlignment="1">
      <alignment horizontal="center"/>
    </xf>
    <xf numFmtId="0" fontId="0" fillId="9" borderId="1" xfId="0" applyFill="1" applyBorder="1"/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Protection="1">
      <protection locked="0"/>
    </xf>
    <xf numFmtId="0" fontId="4" fillId="10" borderId="17" xfId="0" applyFont="1" applyFill="1" applyBorder="1"/>
    <xf numFmtId="0" fontId="0" fillId="11" borderId="17" xfId="0" applyFont="1" applyFill="1" applyBorder="1"/>
    <xf numFmtId="0" fontId="0" fillId="0" borderId="17" xfId="0" applyFont="1" applyBorder="1"/>
    <xf numFmtId="0" fontId="2" fillId="0" borderId="0" xfId="0" applyFont="1" applyBorder="1" applyAlignment="1">
      <alignment horizontal="right"/>
    </xf>
    <xf numFmtId="0" fontId="0" fillId="0" borderId="13" xfId="0" applyBorder="1"/>
    <xf numFmtId="0" fontId="0" fillId="0" borderId="14" xfId="0" applyBorder="1"/>
    <xf numFmtId="0" fontId="2" fillId="0" borderId="6" xfId="0" applyFont="1" applyBorder="1" applyAlignment="1"/>
    <xf numFmtId="0" fontId="0" fillId="11" borderId="19" xfId="0" applyFont="1" applyFill="1" applyBorder="1"/>
    <xf numFmtId="0" fontId="0" fillId="0" borderId="19" xfId="0" applyFont="1" applyBorder="1"/>
    <xf numFmtId="0" fontId="0" fillId="0" borderId="0" xfId="0" applyFill="1" applyBorder="1"/>
    <xf numFmtId="0" fontId="5" fillId="12" borderId="1" xfId="0" applyFont="1" applyFill="1" applyBorder="1" applyAlignment="1">
      <alignment vertical="center"/>
    </xf>
    <xf numFmtId="0" fontId="0" fillId="0" borderId="5" xfId="0" applyFont="1" applyBorder="1"/>
    <xf numFmtId="0" fontId="0" fillId="0" borderId="10" xfId="0" applyFont="1" applyBorder="1"/>
    <xf numFmtId="0" fontId="6" fillId="4" borderId="1" xfId="0" applyFont="1" applyFill="1" applyBorder="1" applyAlignment="1">
      <alignment horizontal="left" vertical="center" wrapText="1" indent="1"/>
    </xf>
    <xf numFmtId="0" fontId="6" fillId="5" borderId="1" xfId="0" applyFont="1" applyFill="1" applyBorder="1" applyAlignment="1">
      <alignment horizontal="left" vertical="center" wrapText="1" indent="1"/>
    </xf>
    <xf numFmtId="0" fontId="6" fillId="6" borderId="1" xfId="0" applyFont="1" applyFill="1" applyBorder="1" applyAlignment="1">
      <alignment horizontal="left" vertical="center" wrapText="1" indent="1"/>
    </xf>
    <xf numFmtId="0" fontId="6" fillId="7" borderId="1" xfId="0" applyFont="1" applyFill="1" applyBorder="1" applyAlignment="1">
      <alignment vertical="center"/>
    </xf>
    <xf numFmtId="0" fontId="6" fillId="12" borderId="1" xfId="0" applyFont="1" applyFill="1" applyBorder="1" applyAlignment="1">
      <alignment vertical="center"/>
    </xf>
    <xf numFmtId="0" fontId="7" fillId="13" borderId="0" xfId="0" applyFont="1" applyFill="1" applyBorder="1" applyAlignment="1">
      <alignment horizontal="center"/>
    </xf>
    <xf numFmtId="0" fontId="7" fillId="14" borderId="0" xfId="0" applyFont="1" applyFill="1" applyBorder="1" applyAlignment="1">
      <alignment horizontal="center"/>
    </xf>
    <xf numFmtId="0" fontId="7" fillId="15" borderId="0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/>
    </xf>
    <xf numFmtId="0" fontId="7" fillId="13" borderId="1" xfId="0" applyFont="1" applyFill="1" applyBorder="1" applyAlignment="1">
      <alignment horizontal="center"/>
    </xf>
    <xf numFmtId="0" fontId="7" fillId="15" borderId="1" xfId="0" applyFont="1" applyFill="1" applyBorder="1" applyAlignment="1">
      <alignment horizontal="center"/>
    </xf>
    <xf numFmtId="0" fontId="0" fillId="17" borderId="1" xfId="0" applyFill="1" applyBorder="1"/>
    <xf numFmtId="0" fontId="0" fillId="17" borderId="1" xfId="0" applyFill="1" applyBorder="1" applyAlignment="1">
      <alignment horizontal="right"/>
    </xf>
    <xf numFmtId="0" fontId="0" fillId="0" borderId="1" xfId="0" applyFill="1" applyBorder="1"/>
    <xf numFmtId="0" fontId="2" fillId="0" borderId="0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16" borderId="0" xfId="0" applyFill="1" applyAlignment="1">
      <alignment horizontal="center"/>
    </xf>
    <xf numFmtId="0" fontId="4" fillId="10" borderId="20" xfId="0" applyFont="1" applyFill="1" applyBorder="1" applyAlignment="1">
      <alignment horizontal="center"/>
    </xf>
    <xf numFmtId="0" fontId="4" fillId="10" borderId="0" xfId="0" applyFont="1" applyFill="1" applyBorder="1" applyAlignment="1">
      <alignment horizontal="center"/>
    </xf>
  </cellXfs>
  <cellStyles count="1">
    <cellStyle name="Normal" xfId="0" builtinId="0"/>
  </cellStyles>
  <dxfs count="39">
    <dxf>
      <font>
        <b/>
        <i val="0"/>
        <color auto="1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darkHorizontal">
          <fgColor rgb="FFFFFF00"/>
          <bgColor rgb="FFFF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darkVertical">
          <fgColor theme="4" tint="0.39994506668294322"/>
          <bgColor auto="1"/>
        </patternFill>
      </fill>
    </dxf>
    <dxf>
      <font>
        <b/>
        <i val="0"/>
      </font>
      <fill>
        <patternFill patternType="darkHorizontal">
          <fgColor rgb="FFFFFF00"/>
          <bgColor rgb="FFFF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darkHorizontal">
          <fgColor rgb="FFFFFF00"/>
          <bgColor rgb="FFFF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  <color auto="1"/>
      </font>
      <fill>
        <patternFill patternType="lightDown">
          <fgColor theme="0"/>
          <bgColor rgb="FFC00000"/>
        </patternFill>
      </fill>
    </dxf>
    <dxf>
      <font>
        <b/>
        <i val="0"/>
        <color auto="1"/>
      </font>
      <fill>
        <patternFill patternType="darkVertical">
          <fgColor theme="4" tint="0.39994506668294322"/>
          <bgColor theme="0"/>
        </patternFill>
      </fill>
    </dxf>
    <dxf>
      <font>
        <b/>
        <i val="0"/>
        <color auto="1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ont>
        <b/>
        <i val="0"/>
      </font>
      <fill>
        <patternFill patternType="lightDown">
          <fgColor theme="0"/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lendario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ño 2020"/>
      <sheetName val="PLANTILLA"/>
      <sheetName val="Datos"/>
    </sheetNames>
    <sheetDataSet>
      <sheetData sheetId="0" refreshError="1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E44" totalsRowShown="0">
  <autoFilter ref="A2:E44" xr:uid="{00000000-0009-0000-0100-000001000000}"/>
  <tableColumns count="5">
    <tableColumn id="1" xr3:uid="{00000000-0010-0000-0000-000001000000}" name="Año"/>
    <tableColumn id="2" xr3:uid="{00000000-0010-0000-0000-000002000000}" name="Festivo"/>
    <tableColumn id="3" xr3:uid="{00000000-0010-0000-0000-000003000000}" name="Dia"/>
    <tableColumn id="4" xr3:uid="{00000000-0010-0000-0000-000004000000}" name="Mes"/>
    <tableColumn id="5" xr3:uid="{00000000-0010-0000-0000-000005000000}" name="Tip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BQ26"/>
  <sheetViews>
    <sheetView topLeftCell="H1" zoomScale="85" zoomScaleNormal="85" workbookViewId="0">
      <selection activeCell="K7" sqref="K7"/>
    </sheetView>
  </sheetViews>
  <sheetFormatPr baseColWidth="10" defaultRowHeight="15" x14ac:dyDescent="0.25"/>
  <cols>
    <col min="1" max="1" width="14.7109375" hidden="1" customWidth="1"/>
    <col min="2" max="2" width="12.7109375" hidden="1" customWidth="1"/>
    <col min="3" max="3" width="10.85546875" hidden="1" customWidth="1"/>
    <col min="4" max="4" width="5" hidden="1" customWidth="1"/>
    <col min="5" max="6" width="3.7109375" hidden="1" customWidth="1"/>
    <col min="7" max="7" width="11.140625" hidden="1" customWidth="1"/>
    <col min="8" max="8" width="4.7109375" customWidth="1"/>
    <col min="9" max="9" width="3.7109375" customWidth="1"/>
    <col min="10" max="10" width="4.28515625" customWidth="1"/>
    <col min="11" max="11" width="4.140625" customWidth="1"/>
    <col min="12" max="12" width="4" customWidth="1"/>
    <col min="13" max="13" width="3.7109375" customWidth="1"/>
    <col min="14" max="15" width="4.140625" customWidth="1"/>
    <col min="16" max="16" width="4.7109375" customWidth="1"/>
    <col min="17" max="17" width="10.85546875" hidden="1" customWidth="1"/>
    <col min="18" max="18" width="4.140625" hidden="1" customWidth="1"/>
    <col min="19" max="19" width="3.85546875" hidden="1" customWidth="1"/>
    <col min="20" max="20" width="4" hidden="1" customWidth="1"/>
    <col min="21" max="21" width="3.85546875" hidden="1" customWidth="1"/>
    <col min="22" max="22" width="4.7109375" hidden="1" customWidth="1"/>
    <col min="23" max="29" width="3.7109375" customWidth="1"/>
    <col min="30" max="30" width="4.7109375" customWidth="1"/>
    <col min="31" max="31" width="10.85546875" hidden="1" customWidth="1"/>
    <col min="32" max="36" width="3.7109375" hidden="1" customWidth="1"/>
    <col min="37" max="43" width="3.7109375" customWidth="1"/>
    <col min="44" max="44" width="4.7109375" customWidth="1"/>
    <col min="45" max="45" width="10.85546875" hidden="1" customWidth="1"/>
    <col min="46" max="46" width="3.5703125" hidden="1" customWidth="1"/>
    <col min="47" max="50" width="3.7109375" hidden="1" customWidth="1"/>
    <col min="51" max="57" width="3.7109375" customWidth="1"/>
    <col min="58" max="59" width="5" customWidth="1"/>
    <col min="60" max="60" width="4.7109375" customWidth="1"/>
    <col min="61" max="61" width="26.7109375" customWidth="1"/>
    <col min="62" max="62" width="7.140625" customWidth="1"/>
    <col min="63" max="63" width="5.5703125" customWidth="1"/>
    <col min="67" max="67" width="3.7109375" customWidth="1"/>
    <col min="68" max="69" width="11.42578125" hidden="1" customWidth="1"/>
  </cols>
  <sheetData>
    <row r="1" spans="1:69" ht="15.75" thickBot="1" x14ac:dyDescent="0.3">
      <c r="A1" s="59" t="s">
        <v>58</v>
      </c>
      <c r="B1" s="59"/>
      <c r="C1" s="1">
        <f>DATE($B$2,E1,1)</f>
        <v>43831</v>
      </c>
      <c r="E1">
        <v>1</v>
      </c>
      <c r="F1">
        <f>DAY(EOMONTH(C1,0))</f>
        <v>31</v>
      </c>
      <c r="G1">
        <f>WEEKDAY(DATE($B$2,E1,1),2)</f>
        <v>3</v>
      </c>
      <c r="I1" s="58" t="s">
        <v>2</v>
      </c>
      <c r="J1" s="58"/>
      <c r="K1" s="58"/>
      <c r="L1" s="58"/>
      <c r="M1" s="58"/>
      <c r="N1" s="58"/>
      <c r="O1" s="58"/>
      <c r="Q1" s="1">
        <f>DATE($B$2,S1,1)</f>
        <v>43862</v>
      </c>
      <c r="S1">
        <v>2</v>
      </c>
      <c r="T1">
        <f>DAY(EOMONTH(Q1,0))</f>
        <v>29</v>
      </c>
      <c r="U1">
        <f>WEEKDAY(DATE($B$2,S1,1),2)</f>
        <v>6</v>
      </c>
      <c r="W1" s="57" t="s">
        <v>10</v>
      </c>
      <c r="X1" s="57"/>
      <c r="Y1" s="57"/>
      <c r="Z1" s="57"/>
      <c r="AA1" s="57"/>
      <c r="AB1" s="57"/>
      <c r="AC1" s="57"/>
      <c r="AE1" s="1">
        <f>DATE($B$2,AG1,1)</f>
        <v>43891</v>
      </c>
      <c r="AG1">
        <v>3</v>
      </c>
      <c r="AH1">
        <f>DAY(EOMONTH(AE1,0))</f>
        <v>31</v>
      </c>
      <c r="AI1">
        <f>WEEKDAY(DATE($B$2,AG1,1),2)</f>
        <v>7</v>
      </c>
      <c r="AK1" s="57" t="s">
        <v>11</v>
      </c>
      <c r="AL1" s="57"/>
      <c r="AM1" s="57"/>
      <c r="AN1" s="57"/>
      <c r="AO1" s="57"/>
      <c r="AP1" s="57"/>
      <c r="AQ1" s="57"/>
      <c r="AS1" s="1">
        <f>DATE($B$2,AU1,1)</f>
        <v>43922</v>
      </c>
      <c r="AU1">
        <v>4</v>
      </c>
      <c r="AV1">
        <f>DAY(EOMONTH(AS1,0))</f>
        <v>30</v>
      </c>
      <c r="AW1">
        <f>WEEKDAY(DATE($B$2,AU1,1),2)</f>
        <v>3</v>
      </c>
      <c r="AY1" s="58" t="s">
        <v>12</v>
      </c>
      <c r="AZ1" s="58"/>
      <c r="BA1" s="58"/>
      <c r="BB1" s="58"/>
      <c r="BC1" s="58"/>
      <c r="BD1" s="58"/>
      <c r="BE1" s="58"/>
      <c r="BG1" s="12"/>
      <c r="BH1" s="12"/>
      <c r="BI1" s="61"/>
      <c r="BJ1" s="61"/>
      <c r="BK1" s="12"/>
    </row>
    <row r="2" spans="1:69" ht="15.75" thickBot="1" x14ac:dyDescent="0.3">
      <c r="A2" s="26" t="s">
        <v>0</v>
      </c>
      <c r="B2" s="28">
        <v>2020</v>
      </c>
      <c r="I2" s="2" t="s">
        <v>3</v>
      </c>
      <c r="J2" s="2" t="s">
        <v>4</v>
      </c>
      <c r="K2" s="2" t="s">
        <v>5</v>
      </c>
      <c r="L2" s="2" t="s">
        <v>6</v>
      </c>
      <c r="M2" s="2" t="s">
        <v>7</v>
      </c>
      <c r="N2" s="2" t="s">
        <v>8</v>
      </c>
      <c r="O2" s="2" t="s">
        <v>9</v>
      </c>
      <c r="W2" s="2" t="s">
        <v>3</v>
      </c>
      <c r="X2" s="2" t="s">
        <v>4</v>
      </c>
      <c r="Y2" s="2" t="s">
        <v>5</v>
      </c>
      <c r="Z2" s="2" t="s">
        <v>6</v>
      </c>
      <c r="AA2" s="2" t="s">
        <v>7</v>
      </c>
      <c r="AB2" s="2" t="s">
        <v>8</v>
      </c>
      <c r="AC2" s="2" t="s">
        <v>9</v>
      </c>
      <c r="AK2" s="2" t="s">
        <v>3</v>
      </c>
      <c r="AL2" s="2" t="s">
        <v>4</v>
      </c>
      <c r="AM2" s="2" t="s">
        <v>5</v>
      </c>
      <c r="AN2" s="2" t="s">
        <v>6</v>
      </c>
      <c r="AO2" s="2" t="s">
        <v>7</v>
      </c>
      <c r="AP2" s="2" t="s">
        <v>8</v>
      </c>
      <c r="AQ2" s="2" t="s">
        <v>9</v>
      </c>
      <c r="AY2" s="2" t="s">
        <v>3</v>
      </c>
      <c r="AZ2" s="2" t="s">
        <v>4</v>
      </c>
      <c r="BA2" s="2" t="s">
        <v>5</v>
      </c>
      <c r="BB2" s="2" t="s">
        <v>6</v>
      </c>
      <c r="BC2" s="2" t="s">
        <v>7</v>
      </c>
      <c r="BD2" s="2" t="s">
        <v>8</v>
      </c>
      <c r="BE2" s="2" t="s">
        <v>9</v>
      </c>
      <c r="BG2" s="33"/>
      <c r="BH2" s="65" t="s">
        <v>30</v>
      </c>
      <c r="BI2" s="65"/>
      <c r="BJ2" s="65"/>
      <c r="BK2" s="34"/>
    </row>
    <row r="3" spans="1:69" ht="15.75" x14ac:dyDescent="0.3">
      <c r="A3" s="26" t="s">
        <v>1</v>
      </c>
      <c r="B3" s="27" t="str">
        <f>IF(OR(MOD(B2,400)=0, AND(MOD(B2,4)=0, MOD(B2,100)&lt;&gt;0)), "SI", "NO")</f>
        <v>SI</v>
      </c>
      <c r="I3" s="3" t="str">
        <f>IF($G$1=1,1,"")</f>
        <v/>
      </c>
      <c r="J3" s="3" t="str">
        <f>IF(NOT(I3=""),I3+1,IF($G$1=2,1,""))</f>
        <v/>
      </c>
      <c r="K3" s="48">
        <f>IF(NOT(J3=""),J3+1,IF($G$1=3,1,""))</f>
        <v>1</v>
      </c>
      <c r="L3" s="39">
        <f>IF(NOT(K3=""),K3+1,IF($G$1=4,1,""))</f>
        <v>2</v>
      </c>
      <c r="M3" s="39">
        <f>IF(NOT(L3=""),L3+1,IF($G$1=5,1,""))</f>
        <v>3</v>
      </c>
      <c r="N3" s="25">
        <f>IF(NOT(M3=""),M3+1,IF($G$1=6,1,""))</f>
        <v>4</v>
      </c>
      <c r="O3" s="25">
        <f>IF(NOT(N3=""),N3+1,IF($G$1=7,1,""))</f>
        <v>5</v>
      </c>
      <c r="W3" s="3" t="str">
        <f>IF($U$1=1,1,"")</f>
        <v/>
      </c>
      <c r="X3" s="3" t="str">
        <f>IF(NOT(W3=""),W3+1,IF($U$1=2,1,""))</f>
        <v/>
      </c>
      <c r="Y3" s="3" t="str">
        <f>IF(NOT(X3=""),X3+1,IF($U$1=3,1,""))</f>
        <v/>
      </c>
      <c r="Z3" s="3" t="str">
        <f>IF(NOT(Y3=""),Y3+1,IF($U$1=4,1,""))</f>
        <v/>
      </c>
      <c r="AA3" s="3" t="str">
        <f>IF(NOT(Z3=""),Z3+1,IF($U$1=5,1,""))</f>
        <v/>
      </c>
      <c r="AB3" s="25">
        <f>IF(NOT(AA3=""),AA3+1,IF($U$1=6,1,""))</f>
        <v>1</v>
      </c>
      <c r="AC3" s="25">
        <f>IF(NOT(AB3=""),AB3+1,IF($U$1=7,1,""))</f>
        <v>2</v>
      </c>
      <c r="AK3" s="3" t="str">
        <f>IF($AI$1=1,1,"")</f>
        <v/>
      </c>
      <c r="AL3" s="3" t="str">
        <f>IF(NOT(AK3=""),AK3+1,IF($AI$1=2,1,""))</f>
        <v/>
      </c>
      <c r="AM3" s="3" t="str">
        <f>IF(NOT(AL3=""),AL3+1,IF($AI$1=3,1,""))</f>
        <v/>
      </c>
      <c r="AN3" s="3" t="str">
        <f>IF(NOT(AM3=""),AM3+1,IF($AI$1=4,1,""))</f>
        <v/>
      </c>
      <c r="AO3" s="3" t="str">
        <f>IF(NOT(AN3=""),AN3+1,IF($AI$1=5,1,""))</f>
        <v/>
      </c>
      <c r="AP3" s="25" t="str">
        <f>IF(NOT(AO3=""),AO3+1,IF($AI$1=6,1,""))</f>
        <v/>
      </c>
      <c r="AQ3" s="25">
        <f>IF(NOT(AP3=""),AP3+1,IF($AI$1=7,1,""))</f>
        <v>1</v>
      </c>
      <c r="AY3" s="3" t="str">
        <f>IF($AW$1=1,1,"")</f>
        <v/>
      </c>
      <c r="AZ3" s="3" t="str">
        <f>IF(NOT(AY3=""),AY3+1,IF($AW$1=2,1,""))</f>
        <v/>
      </c>
      <c r="BA3" s="3">
        <f>IF(NOT(AZ3=""),AZ3+1,IF($AW$1=3,1,""))</f>
        <v>1</v>
      </c>
      <c r="BB3" s="3">
        <f>IF(NOT(BA3=""),BA3+1,IF($AW$1=4,1,""))</f>
        <v>2</v>
      </c>
      <c r="BC3" s="3">
        <f>IF(NOT(BB3=""),BB3+1,IF($AW$1=5,1,""))</f>
        <v>3</v>
      </c>
      <c r="BD3" s="25">
        <f>IF(NOT(BC3=""),BC3+1,IF($AW$1=6,1,""))</f>
        <v>4</v>
      </c>
      <c r="BE3" s="25">
        <f>IF(NOT(BD3=""),BD3+1,IF($AW$1=7,1,""))</f>
        <v>5</v>
      </c>
      <c r="BG3" s="8"/>
      <c r="BH3" s="40"/>
      <c r="BI3" s="66"/>
      <c r="BJ3" s="66"/>
      <c r="BK3" s="35"/>
      <c r="BL3" s="6"/>
      <c r="BM3" s="6"/>
      <c r="BN3" s="6"/>
      <c r="BO3" s="6"/>
      <c r="BP3" s="6"/>
      <c r="BQ3" s="6"/>
    </row>
    <row r="4" spans="1:69" ht="15.75" x14ac:dyDescent="0.3">
      <c r="I4" s="48">
        <f>IF(AND(O3&gt;0,O3&lt;$F$1),O3+1,"")</f>
        <v>6</v>
      </c>
      <c r="J4" s="3">
        <f t="shared" ref="J4:O6" si="0">IF(AND(I4&gt;0,I4&lt;$F$1),I4+1,"")</f>
        <v>7</v>
      </c>
      <c r="K4" s="3">
        <f t="shared" si="0"/>
        <v>8</v>
      </c>
      <c r="L4" s="3">
        <f t="shared" si="0"/>
        <v>9</v>
      </c>
      <c r="M4" s="3">
        <f t="shared" si="0"/>
        <v>10</v>
      </c>
      <c r="N4" s="25">
        <f t="shared" si="0"/>
        <v>11</v>
      </c>
      <c r="O4" s="25">
        <f t="shared" si="0"/>
        <v>12</v>
      </c>
      <c r="W4" s="3">
        <f>IF(AND(AC3&gt;0,AC3&lt;$T$1),AC3+1,"")</f>
        <v>3</v>
      </c>
      <c r="X4" s="3">
        <f t="shared" ref="X4:AC8" si="1">IF(AND(W4&gt;0,W4&lt;$T$1),W4+1,"")</f>
        <v>4</v>
      </c>
      <c r="Y4" s="3">
        <f t="shared" si="1"/>
        <v>5</v>
      </c>
      <c r="Z4" s="3">
        <f t="shared" si="1"/>
        <v>6</v>
      </c>
      <c r="AA4" s="3">
        <f t="shared" si="1"/>
        <v>7</v>
      </c>
      <c r="AB4" s="25">
        <f t="shared" si="1"/>
        <v>8</v>
      </c>
      <c r="AC4" s="25">
        <f t="shared" si="1"/>
        <v>9</v>
      </c>
      <c r="AK4" s="3">
        <f>IF(AND(AQ3&gt;0,AQ3&lt;$AH$1),AQ3+1,"")</f>
        <v>2</v>
      </c>
      <c r="AL4" s="3">
        <f t="shared" ref="AL4:AQ8" si="2">IF(AND(AK4&gt;0,AK4&lt;$AH$1),AK4+1,"")</f>
        <v>3</v>
      </c>
      <c r="AM4" s="3">
        <f t="shared" si="2"/>
        <v>4</v>
      </c>
      <c r="AN4" s="3">
        <f t="shared" si="2"/>
        <v>5</v>
      </c>
      <c r="AO4" s="3">
        <f t="shared" si="2"/>
        <v>6</v>
      </c>
      <c r="AP4" s="25">
        <f t="shared" si="2"/>
        <v>7</v>
      </c>
      <c r="AQ4" s="25">
        <f t="shared" si="2"/>
        <v>8</v>
      </c>
      <c r="AY4" s="3">
        <f>IF(AND(BE3&gt;0,BE3&lt;$AV$1),BE3+1,"")</f>
        <v>6</v>
      </c>
      <c r="AZ4" s="3">
        <f t="shared" ref="AZ4:BE8" si="3">IF(AND(AY4&gt;0,AY4&lt;$AV$1),AY4+1,"")</f>
        <v>7</v>
      </c>
      <c r="BA4" s="3">
        <f t="shared" si="3"/>
        <v>8</v>
      </c>
      <c r="BB4" s="3">
        <f t="shared" si="3"/>
        <v>9</v>
      </c>
      <c r="BC4" s="48">
        <f t="shared" si="3"/>
        <v>10</v>
      </c>
      <c r="BD4" s="25">
        <f t="shared" si="3"/>
        <v>11</v>
      </c>
      <c r="BE4" s="25">
        <f t="shared" si="3"/>
        <v>12</v>
      </c>
      <c r="BG4" s="11"/>
      <c r="BH4" s="42"/>
      <c r="BI4" s="56" t="s">
        <v>23</v>
      </c>
      <c r="BJ4" s="56"/>
      <c r="BK4" s="14"/>
      <c r="BL4" s="6"/>
      <c r="BM4" s="6"/>
      <c r="BN4" s="6"/>
      <c r="BO4" s="6"/>
      <c r="BP4" s="6"/>
      <c r="BQ4" s="6"/>
    </row>
    <row r="5" spans="1:69" ht="15.75" x14ac:dyDescent="0.3">
      <c r="A5" s="64"/>
      <c r="B5" s="64"/>
      <c r="I5" s="3">
        <f>IF(AND(O4&gt;0,O4&lt;$F$1),O4+1,"")</f>
        <v>13</v>
      </c>
      <c r="J5" s="3">
        <f t="shared" si="0"/>
        <v>14</v>
      </c>
      <c r="K5" s="3">
        <f t="shared" si="0"/>
        <v>15</v>
      </c>
      <c r="L5" s="3">
        <f t="shared" si="0"/>
        <v>16</v>
      </c>
      <c r="M5" s="3">
        <f t="shared" si="0"/>
        <v>17</v>
      </c>
      <c r="N5" s="25">
        <f t="shared" si="0"/>
        <v>18</v>
      </c>
      <c r="O5" s="25">
        <f t="shared" si="0"/>
        <v>19</v>
      </c>
      <c r="W5" s="3">
        <f>IF(AND(AC4&gt;0,AC4&lt;$T$1),AC4+1,"")</f>
        <v>10</v>
      </c>
      <c r="X5" s="3">
        <f t="shared" si="1"/>
        <v>11</v>
      </c>
      <c r="Y5" s="3">
        <f t="shared" si="1"/>
        <v>12</v>
      </c>
      <c r="Z5" s="3">
        <f t="shared" si="1"/>
        <v>13</v>
      </c>
      <c r="AA5" s="3">
        <f t="shared" si="1"/>
        <v>14</v>
      </c>
      <c r="AB5" s="25">
        <f t="shared" si="1"/>
        <v>15</v>
      </c>
      <c r="AC5" s="25">
        <f t="shared" si="1"/>
        <v>16</v>
      </c>
      <c r="AK5" s="3">
        <f>IF(AND(AQ4&gt;0,AQ4&lt;$AH$1),AQ4+1,"")</f>
        <v>9</v>
      </c>
      <c r="AL5" s="3">
        <f t="shared" si="2"/>
        <v>10</v>
      </c>
      <c r="AM5" s="3">
        <f t="shared" si="2"/>
        <v>11</v>
      </c>
      <c r="AN5" s="3">
        <f t="shared" si="2"/>
        <v>12</v>
      </c>
      <c r="AO5" s="3">
        <f t="shared" si="2"/>
        <v>13</v>
      </c>
      <c r="AP5" s="25">
        <f t="shared" si="2"/>
        <v>14</v>
      </c>
      <c r="AQ5" s="25">
        <f t="shared" si="2"/>
        <v>15</v>
      </c>
      <c r="AY5" s="47">
        <f>IF(AND(BE4&gt;0,BE4&lt;$AV$1),BE4+1,"")</f>
        <v>13</v>
      </c>
      <c r="AZ5" s="3">
        <f t="shared" si="3"/>
        <v>14</v>
      </c>
      <c r="BA5" s="3">
        <f t="shared" si="3"/>
        <v>15</v>
      </c>
      <c r="BB5" s="3">
        <f t="shared" si="3"/>
        <v>16</v>
      </c>
      <c r="BC5" s="3">
        <f t="shared" si="3"/>
        <v>17</v>
      </c>
      <c r="BD5" s="25">
        <f t="shared" si="3"/>
        <v>18</v>
      </c>
      <c r="BE5" s="25">
        <f t="shared" si="3"/>
        <v>19</v>
      </c>
      <c r="BG5" s="11"/>
      <c r="BH5" s="50"/>
      <c r="BI5" s="56" t="s">
        <v>24</v>
      </c>
      <c r="BJ5" s="56"/>
      <c r="BK5" s="14"/>
      <c r="BL5" s="6"/>
      <c r="BM5" s="6"/>
      <c r="BN5" s="6"/>
      <c r="BO5" s="6"/>
      <c r="BP5" s="6"/>
      <c r="BQ5" s="6"/>
    </row>
    <row r="6" spans="1:69" ht="15.75" x14ac:dyDescent="0.3">
      <c r="I6" s="3">
        <f>IF(AND(O5&gt;0,O5&lt;$F$1),O5+1,"")</f>
        <v>20</v>
      </c>
      <c r="J6" s="3">
        <f>IF(AND(I6&gt;0,I6&lt;$F$1),I6+1,"")</f>
        <v>21</v>
      </c>
      <c r="K6" s="3">
        <f t="shared" si="0"/>
        <v>22</v>
      </c>
      <c r="L6" s="3">
        <f t="shared" si="0"/>
        <v>23</v>
      </c>
      <c r="M6" s="3">
        <f t="shared" si="0"/>
        <v>24</v>
      </c>
      <c r="N6" s="25">
        <f t="shared" si="0"/>
        <v>25</v>
      </c>
      <c r="O6" s="25">
        <f t="shared" si="0"/>
        <v>26</v>
      </c>
      <c r="W6" s="3">
        <f>IF(AND(AC5&gt;0,AC5&lt;$T$1),AC5+1,"")</f>
        <v>17</v>
      </c>
      <c r="X6" s="3">
        <f t="shared" si="1"/>
        <v>18</v>
      </c>
      <c r="Y6" s="3">
        <f t="shared" si="1"/>
        <v>19</v>
      </c>
      <c r="Z6" s="3">
        <f t="shared" si="1"/>
        <v>20</v>
      </c>
      <c r="AA6" s="3">
        <f t="shared" si="1"/>
        <v>21</v>
      </c>
      <c r="AB6" s="25">
        <f t="shared" si="1"/>
        <v>22</v>
      </c>
      <c r="AC6" s="25">
        <f t="shared" si="1"/>
        <v>23</v>
      </c>
      <c r="AK6" s="39">
        <f>IF(AND(AQ5&gt;0,AQ5&lt;$AH$1),AQ5+1,"")</f>
        <v>16</v>
      </c>
      <c r="AL6" s="39">
        <f t="shared" si="2"/>
        <v>17</v>
      </c>
      <c r="AM6" s="39">
        <f t="shared" si="2"/>
        <v>18</v>
      </c>
      <c r="AN6" s="48">
        <f t="shared" si="2"/>
        <v>19</v>
      </c>
      <c r="AO6" s="39">
        <f t="shared" si="2"/>
        <v>20</v>
      </c>
      <c r="AP6" s="25">
        <f t="shared" si="2"/>
        <v>21</v>
      </c>
      <c r="AQ6" s="25">
        <f t="shared" si="2"/>
        <v>22</v>
      </c>
      <c r="AY6" s="3">
        <f>IF(AND(BE5&gt;0,BE5&lt;$AV$1),BE5+1,"")</f>
        <v>20</v>
      </c>
      <c r="AZ6" s="3">
        <f t="shared" si="3"/>
        <v>21</v>
      </c>
      <c r="BA6" s="3">
        <f t="shared" si="3"/>
        <v>22</v>
      </c>
      <c r="BB6" s="49">
        <f t="shared" si="3"/>
        <v>23</v>
      </c>
      <c r="BC6" s="3">
        <f t="shared" si="3"/>
        <v>24</v>
      </c>
      <c r="BD6" s="25">
        <f t="shared" si="3"/>
        <v>25</v>
      </c>
      <c r="BE6" s="25">
        <f t="shared" si="3"/>
        <v>26</v>
      </c>
      <c r="BG6" s="11"/>
      <c r="BH6" s="51"/>
      <c r="BI6" s="56" t="s">
        <v>25</v>
      </c>
      <c r="BJ6" s="56"/>
      <c r="BK6" s="14"/>
      <c r="BL6" s="6"/>
      <c r="BM6" s="6"/>
      <c r="BN6" s="6"/>
      <c r="BO6" s="6"/>
      <c r="BP6" s="6"/>
      <c r="BQ6" s="6"/>
    </row>
    <row r="7" spans="1:69" ht="15.75" x14ac:dyDescent="0.3">
      <c r="I7" s="3">
        <f>IF(AND(O6&gt;0,O6&lt;$F$1),O6+1,"")</f>
        <v>27</v>
      </c>
      <c r="J7" s="3">
        <f t="shared" ref="J7:O8" si="4">IF(AND(I7&gt;0,I7&lt;$F$1),I7+1,"")</f>
        <v>28</v>
      </c>
      <c r="K7" s="3">
        <f t="shared" si="4"/>
        <v>29</v>
      </c>
      <c r="L7" s="3">
        <f t="shared" si="4"/>
        <v>30</v>
      </c>
      <c r="M7" s="3">
        <f t="shared" si="4"/>
        <v>31</v>
      </c>
      <c r="N7" s="25" t="str">
        <f t="shared" si="4"/>
        <v/>
      </c>
      <c r="O7" s="25" t="str">
        <f t="shared" si="4"/>
        <v/>
      </c>
      <c r="W7" s="3">
        <f>IF(AND(AC6&gt;0,AC6&lt;$T$1),AC6+1,"")</f>
        <v>24</v>
      </c>
      <c r="X7" s="3">
        <f t="shared" si="1"/>
        <v>25</v>
      </c>
      <c r="Y7" s="3">
        <f t="shared" si="1"/>
        <v>26</v>
      </c>
      <c r="Z7" s="3">
        <f t="shared" si="1"/>
        <v>27</v>
      </c>
      <c r="AA7" s="3">
        <f t="shared" si="1"/>
        <v>28</v>
      </c>
      <c r="AB7" s="25">
        <f t="shared" si="1"/>
        <v>29</v>
      </c>
      <c r="AC7" s="25" t="str">
        <f t="shared" si="1"/>
        <v/>
      </c>
      <c r="AK7" s="3">
        <f>IF(AND(AQ6&gt;0,AQ6&lt;$AH$1),AQ6+1,"")</f>
        <v>23</v>
      </c>
      <c r="AL7" s="3">
        <f t="shared" si="2"/>
        <v>24</v>
      </c>
      <c r="AM7" s="3">
        <f t="shared" si="2"/>
        <v>25</v>
      </c>
      <c r="AN7" s="3">
        <f t="shared" si="2"/>
        <v>26</v>
      </c>
      <c r="AO7" s="3">
        <f t="shared" si="2"/>
        <v>27</v>
      </c>
      <c r="AP7" s="25">
        <f t="shared" si="2"/>
        <v>28</v>
      </c>
      <c r="AQ7" s="25">
        <f t="shared" si="2"/>
        <v>29</v>
      </c>
      <c r="AY7" s="3">
        <f>IF(AND(BE6&gt;0,BE6&lt;$AV$1),BE6+1,"")</f>
        <v>27</v>
      </c>
      <c r="AZ7" s="3">
        <f t="shared" si="3"/>
        <v>28</v>
      </c>
      <c r="BA7" s="3">
        <f t="shared" si="3"/>
        <v>29</v>
      </c>
      <c r="BB7" s="3">
        <f t="shared" si="3"/>
        <v>30</v>
      </c>
      <c r="BC7" s="3" t="str">
        <f t="shared" si="3"/>
        <v/>
      </c>
      <c r="BD7" s="25" t="str">
        <f t="shared" si="3"/>
        <v/>
      </c>
      <c r="BE7" s="25" t="str">
        <f t="shared" si="3"/>
        <v/>
      </c>
      <c r="BG7" s="11"/>
      <c r="BH7" s="52"/>
      <c r="BI7" s="56" t="s">
        <v>26</v>
      </c>
      <c r="BJ7" s="56"/>
      <c r="BK7" s="14"/>
      <c r="BL7" s="6"/>
      <c r="BM7" s="6"/>
      <c r="BN7" s="6"/>
      <c r="BO7" s="6"/>
      <c r="BP7" s="6"/>
      <c r="BQ7" s="6"/>
    </row>
    <row r="8" spans="1:69" ht="15.75" x14ac:dyDescent="0.3">
      <c r="I8" s="3" t="str">
        <f>IF(AND(O7&gt;0,O7&lt;$F$1),O7+1,"")</f>
        <v/>
      </c>
      <c r="J8" s="3" t="str">
        <f t="shared" si="4"/>
        <v/>
      </c>
      <c r="K8" s="3" t="str">
        <f t="shared" si="4"/>
        <v/>
      </c>
      <c r="L8" s="3" t="str">
        <f t="shared" si="4"/>
        <v/>
      </c>
      <c r="M8" s="3" t="str">
        <f t="shared" si="4"/>
        <v/>
      </c>
      <c r="N8" s="25" t="str">
        <f t="shared" si="4"/>
        <v/>
      </c>
      <c r="O8" s="25" t="str">
        <f t="shared" si="4"/>
        <v/>
      </c>
      <c r="W8" s="3" t="str">
        <f>IF(AND(AC7&gt;0,AC7&lt;$T$1),AC7+1,"")</f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25" t="str">
        <f t="shared" si="1"/>
        <v/>
      </c>
      <c r="AC8" s="25" t="str">
        <f t="shared" si="1"/>
        <v/>
      </c>
      <c r="AK8" s="3">
        <f>IF(AND(AQ7&gt;0,AQ7&lt;$AH$1),AQ7+1,"")</f>
        <v>30</v>
      </c>
      <c r="AL8" s="3">
        <f t="shared" si="2"/>
        <v>31</v>
      </c>
      <c r="AM8" s="3" t="str">
        <f t="shared" si="2"/>
        <v/>
      </c>
      <c r="AN8" s="3" t="str">
        <f t="shared" si="2"/>
        <v/>
      </c>
      <c r="AO8" s="3" t="str">
        <f t="shared" si="2"/>
        <v/>
      </c>
      <c r="AP8" s="25" t="str">
        <f t="shared" si="2"/>
        <v/>
      </c>
      <c r="AQ8" s="25" t="str">
        <f t="shared" si="2"/>
        <v/>
      </c>
      <c r="AY8" s="3" t="str">
        <f>IF(AND(BE7&gt;0,BE7&lt;$AV$1),BE7+1,"")</f>
        <v/>
      </c>
      <c r="AZ8" s="3" t="str">
        <f t="shared" si="3"/>
        <v/>
      </c>
      <c r="BA8" s="3" t="str">
        <f t="shared" si="3"/>
        <v/>
      </c>
      <c r="BB8" s="3" t="str">
        <f t="shared" si="3"/>
        <v/>
      </c>
      <c r="BC8" s="3" t="str">
        <f t="shared" si="3"/>
        <v/>
      </c>
      <c r="BD8" s="25" t="str">
        <f t="shared" si="3"/>
        <v/>
      </c>
      <c r="BE8" s="25" t="str">
        <f t="shared" si="3"/>
        <v/>
      </c>
      <c r="BG8" s="11"/>
      <c r="BH8" s="43"/>
      <c r="BI8" s="56" t="s">
        <v>27</v>
      </c>
      <c r="BJ8" s="56"/>
      <c r="BK8" s="14"/>
      <c r="BL8" s="6"/>
      <c r="BM8" s="6"/>
      <c r="BN8" s="6"/>
      <c r="BO8" s="6"/>
      <c r="BP8" s="6"/>
      <c r="BQ8" s="6"/>
    </row>
    <row r="9" spans="1:69" ht="15.75" x14ac:dyDescent="0.3">
      <c r="A9" s="4"/>
      <c r="B9" s="4"/>
      <c r="C9" s="4"/>
      <c r="D9" s="4"/>
      <c r="E9" s="4"/>
      <c r="F9" s="4"/>
      <c r="G9" s="4"/>
      <c r="H9" s="4"/>
      <c r="I9" s="5"/>
      <c r="J9" s="5"/>
      <c r="K9" s="5"/>
      <c r="L9" s="5"/>
      <c r="M9" s="5"/>
      <c r="N9" s="5"/>
      <c r="O9" s="5"/>
      <c r="P9" s="4"/>
      <c r="Q9" s="4"/>
      <c r="R9" s="4"/>
      <c r="S9" s="4"/>
      <c r="T9" s="4"/>
      <c r="U9" s="4"/>
      <c r="V9" s="4"/>
      <c r="W9" s="5"/>
      <c r="X9" s="5"/>
      <c r="Y9" s="5"/>
      <c r="Z9" s="5"/>
      <c r="AA9" s="5"/>
      <c r="AB9" s="5"/>
      <c r="AC9" s="5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4"/>
      <c r="AS9" s="4"/>
      <c r="AT9" s="4"/>
      <c r="AU9" s="4"/>
      <c r="AV9" s="4"/>
      <c r="AW9" s="4"/>
      <c r="AX9" s="4"/>
      <c r="AY9" s="5"/>
      <c r="AZ9" s="5"/>
      <c r="BA9" s="5"/>
      <c r="BB9" s="5"/>
      <c r="BC9" s="5"/>
      <c r="BD9" s="5"/>
      <c r="BE9" s="5"/>
      <c r="BG9" s="11"/>
      <c r="BH9" s="44"/>
      <c r="BI9" s="56" t="s">
        <v>28</v>
      </c>
      <c r="BJ9" s="56"/>
      <c r="BK9" s="14"/>
      <c r="BL9" s="6"/>
      <c r="BM9" s="6"/>
      <c r="BN9" s="6"/>
      <c r="BO9" s="6"/>
      <c r="BP9" s="6"/>
      <c r="BQ9" s="6"/>
    </row>
    <row r="10" spans="1:69" ht="15.75" x14ac:dyDescent="0.3">
      <c r="C10" s="1">
        <f>DATE($B$2,E10,1)</f>
        <v>43952</v>
      </c>
      <c r="E10">
        <v>5</v>
      </c>
      <c r="F10">
        <f>DAY(EOMONTH(C10,0))</f>
        <v>31</v>
      </c>
      <c r="G10">
        <f>WEEKDAY(DATE($B$2,E10,1),2)</f>
        <v>5</v>
      </c>
      <c r="I10" s="57" t="s">
        <v>13</v>
      </c>
      <c r="J10" s="57"/>
      <c r="K10" s="57"/>
      <c r="L10" s="57"/>
      <c r="M10" s="57"/>
      <c r="N10" s="57"/>
      <c r="O10" s="57"/>
      <c r="Q10" s="1">
        <f>DATE($B$2,S10,1)</f>
        <v>43983</v>
      </c>
      <c r="S10">
        <v>6</v>
      </c>
      <c r="T10">
        <f>DAY(EOMONTH(Q10,0))</f>
        <v>30</v>
      </c>
      <c r="U10">
        <f>WEEKDAY(DATE($B$2,S10,1),2)</f>
        <v>1</v>
      </c>
      <c r="W10" s="57" t="s">
        <v>14</v>
      </c>
      <c r="X10" s="57"/>
      <c r="Y10" s="57"/>
      <c r="Z10" s="57"/>
      <c r="AA10" s="57"/>
      <c r="AB10" s="57"/>
      <c r="AC10" s="57"/>
      <c r="AE10" s="1">
        <f>DATE($B$2,AG10,1)</f>
        <v>44013</v>
      </c>
      <c r="AG10">
        <v>7</v>
      </c>
      <c r="AH10">
        <f>DAY(EOMONTH(AE10,0))</f>
        <v>31</v>
      </c>
      <c r="AI10">
        <f>WEEKDAY(DATE($B$2,AG10,1),2)</f>
        <v>3</v>
      </c>
      <c r="AK10" s="57" t="s">
        <v>15</v>
      </c>
      <c r="AL10" s="57"/>
      <c r="AM10" s="57"/>
      <c r="AN10" s="57"/>
      <c r="AO10" s="57"/>
      <c r="AP10" s="57"/>
      <c r="AQ10" s="57"/>
      <c r="AS10" s="1">
        <f>DATE($B$2,AU10,1)</f>
        <v>44044</v>
      </c>
      <c r="AU10">
        <v>8</v>
      </c>
      <c r="AV10">
        <f>DAY(EOMONTH(AS10,0))</f>
        <v>31</v>
      </c>
      <c r="AW10">
        <f>WEEKDAY(DATE($B$2,AU10,1),2)</f>
        <v>6</v>
      </c>
      <c r="AY10" s="57" t="s">
        <v>16</v>
      </c>
      <c r="AZ10" s="57"/>
      <c r="BA10" s="57"/>
      <c r="BB10" s="57"/>
      <c r="BC10" s="57"/>
      <c r="BD10" s="57"/>
      <c r="BE10" s="57"/>
      <c r="BG10" s="11"/>
      <c r="BH10" s="45"/>
      <c r="BI10" s="7" t="s">
        <v>29</v>
      </c>
      <c r="BJ10" s="7">
        <f>B2-1</f>
        <v>2019</v>
      </c>
      <c r="BK10" s="14"/>
      <c r="BL10" s="6"/>
      <c r="BN10" s="6"/>
      <c r="BO10" s="6"/>
      <c r="BP10" s="6"/>
      <c r="BQ10" s="6"/>
    </row>
    <row r="11" spans="1:69" ht="15.75" x14ac:dyDescent="0.3">
      <c r="I11" s="2" t="s">
        <v>3</v>
      </c>
      <c r="J11" s="2" t="s">
        <v>4</v>
      </c>
      <c r="K11" s="2" t="s">
        <v>5</v>
      </c>
      <c r="L11" s="2" t="s">
        <v>6</v>
      </c>
      <c r="M11" s="2" t="s">
        <v>7</v>
      </c>
      <c r="N11" s="2" t="s">
        <v>8</v>
      </c>
      <c r="O11" s="2" t="s">
        <v>9</v>
      </c>
      <c r="W11" s="2" t="s">
        <v>3</v>
      </c>
      <c r="X11" s="2" t="s">
        <v>4</v>
      </c>
      <c r="Y11" s="2" t="s">
        <v>5</v>
      </c>
      <c r="Z11" s="2" t="s">
        <v>6</v>
      </c>
      <c r="AA11" s="2" t="s">
        <v>7</v>
      </c>
      <c r="AB11" s="2" t="s">
        <v>8</v>
      </c>
      <c r="AC11" s="2" t="s">
        <v>9</v>
      </c>
      <c r="AK11" s="2" t="s">
        <v>3</v>
      </c>
      <c r="AL11" s="2" t="s">
        <v>4</v>
      </c>
      <c r="AM11" s="2" t="s">
        <v>5</v>
      </c>
      <c r="AN11" s="2" t="s">
        <v>6</v>
      </c>
      <c r="AO11" s="2" t="s">
        <v>7</v>
      </c>
      <c r="AP11" s="2" t="s">
        <v>8</v>
      </c>
      <c r="AQ11" s="2" t="s">
        <v>9</v>
      </c>
      <c r="AY11" s="2" t="s">
        <v>3</v>
      </c>
      <c r="AZ11" s="2" t="s">
        <v>4</v>
      </c>
      <c r="BA11" s="2" t="s">
        <v>5</v>
      </c>
      <c r="BB11" s="2" t="s">
        <v>6</v>
      </c>
      <c r="BC11" s="2" t="s">
        <v>7</v>
      </c>
      <c r="BD11" s="2" t="s">
        <v>8</v>
      </c>
      <c r="BE11" s="2" t="s">
        <v>9</v>
      </c>
      <c r="BG11" s="11"/>
      <c r="BH11" s="46"/>
      <c r="BI11" s="56" t="s">
        <v>22</v>
      </c>
      <c r="BJ11" s="56"/>
      <c r="BK11" s="14"/>
      <c r="BL11" s="6"/>
      <c r="BN11" s="6"/>
      <c r="BO11" s="6"/>
      <c r="BP11" s="6"/>
      <c r="BQ11" s="6"/>
    </row>
    <row r="12" spans="1:69" ht="15.75" thickBot="1" x14ac:dyDescent="0.3">
      <c r="I12" s="3" t="str">
        <f>IF($G$10=1,1,"")</f>
        <v/>
      </c>
      <c r="J12" s="3" t="str">
        <f>IF(NOT(I12=""),I12+1,IF($G$10=2,1,""))</f>
        <v/>
      </c>
      <c r="K12" s="3" t="str">
        <f>IF(NOT(J12=""),J12+1,IF($G$10=3,1,""))</f>
        <v/>
      </c>
      <c r="L12" s="3" t="str">
        <f>IF(NOT(K12=""),K12+1,IF($G$10=4,1,""))</f>
        <v/>
      </c>
      <c r="M12" s="48">
        <f>IF(NOT(L12=""),L12+1,IF($G$10=5,1,""))</f>
        <v>1</v>
      </c>
      <c r="N12" s="25">
        <f>IF(NOT(M12=""),M12+1,IF($G$10=6,1,""))</f>
        <v>2</v>
      </c>
      <c r="O12" s="25">
        <f>IF(NOT(N12=""),N12+1,IF($G$10=7,1,""))</f>
        <v>3</v>
      </c>
      <c r="W12" s="3">
        <f>IF($U$10=1,1,"")</f>
        <v>1</v>
      </c>
      <c r="X12" s="3">
        <f>IF(NOT(W12=""),W12+1,IF($U$10=2,1,""))</f>
        <v>2</v>
      </c>
      <c r="Y12" s="3">
        <f>IF(NOT(X12=""),X12+1,IF($U$10=3,1,""))</f>
        <v>3</v>
      </c>
      <c r="Z12" s="3">
        <f>IF(NOT(Y12=""),Y12+1,IF($U$10=4,1,""))</f>
        <v>4</v>
      </c>
      <c r="AA12" s="3">
        <f>IF(NOT(Z12=""),Z12+1,IF($U$10=5,1,""))</f>
        <v>5</v>
      </c>
      <c r="AB12" s="25">
        <f>IF(NOT(AA12=""),AA12+1,IF($U$10=6,1,""))</f>
        <v>6</v>
      </c>
      <c r="AC12" s="25">
        <f>IF(NOT(AB12=""),AB12+1,IF($U$10=7,1,""))</f>
        <v>7</v>
      </c>
      <c r="AK12" s="3" t="str">
        <f>IF($AI$10=1,1,"")</f>
        <v/>
      </c>
      <c r="AL12" s="3" t="str">
        <f>IF(NOT(AK12=""),AK12+1,IF($AI$10=2,1,""))</f>
        <v/>
      </c>
      <c r="AM12" s="3">
        <f>IF(NOT(AL12=""),AL12+1,IF($AI$10=3,1,""))</f>
        <v>1</v>
      </c>
      <c r="AN12" s="3">
        <f>IF(NOT(AM12=""),AM12+1,IF($AI$10=4,1,""))</f>
        <v>2</v>
      </c>
      <c r="AO12" s="3">
        <f>IF(NOT(AN12=""),AN12+1,IF($AI$10=5,1,""))</f>
        <v>3</v>
      </c>
      <c r="AP12" s="25">
        <f>IF(NOT(AO12=""),AO12+1,IF($AI$10=6,1,""))</f>
        <v>4</v>
      </c>
      <c r="AQ12" s="25">
        <f>IF(NOT(AP12=""),AP12+1,IF($AI$10=7,1,""))</f>
        <v>5</v>
      </c>
      <c r="AY12" s="3" t="str">
        <f>IF($AW$10=1,1,"")</f>
        <v/>
      </c>
      <c r="AZ12" s="3" t="str">
        <f>IF(NOT(AY12=""),AY12+1,IF($AW$10=2,1,""))</f>
        <v/>
      </c>
      <c r="BA12" s="3" t="str">
        <f>IF(NOT(AZ12=""),AZ12+1,IF($AW$10=3,1,""))</f>
        <v/>
      </c>
      <c r="BB12" s="3" t="str">
        <f>IF(NOT(BA12=""),BA12+1,IF($AW$10=4,1,""))</f>
        <v/>
      </c>
      <c r="BC12" s="3" t="str">
        <f>IF(NOT(BB12=""),BB12+1,IF($AW$10=5,1,""))</f>
        <v/>
      </c>
      <c r="BD12" s="25">
        <f>IF(NOT(BC12=""),BC12+1,IF($AW$10=6,1,""))</f>
        <v>1</v>
      </c>
      <c r="BE12" s="25">
        <f>IF(NOT(BD12=""),BD12+1,IF($AW$10=7,1,""))</f>
        <v>2</v>
      </c>
      <c r="BG12" s="15"/>
      <c r="BH12" s="41"/>
      <c r="BI12" s="60"/>
      <c r="BJ12" s="60"/>
      <c r="BK12" s="17"/>
    </row>
    <row r="13" spans="1:69" x14ac:dyDescent="0.25">
      <c r="I13" s="3">
        <f>IF(AND(O12&gt;0,O12&lt;$F$10),O12+1,"")</f>
        <v>4</v>
      </c>
      <c r="J13" s="3">
        <f t="shared" ref="J13:O17" si="5">IF(AND(I13&gt;0,I13&lt;$F$10),I13+1,"")</f>
        <v>5</v>
      </c>
      <c r="K13" s="3">
        <f t="shared" si="5"/>
        <v>6</v>
      </c>
      <c r="L13" s="3">
        <f t="shared" si="5"/>
        <v>7</v>
      </c>
      <c r="M13" s="3">
        <f t="shared" si="5"/>
        <v>8</v>
      </c>
      <c r="N13" s="25">
        <f t="shared" si="5"/>
        <v>9</v>
      </c>
      <c r="O13" s="25">
        <f t="shared" si="5"/>
        <v>10</v>
      </c>
      <c r="W13" s="3">
        <f>IF(AND(AC12&gt;0,AC12&lt;$T$10),AC12+1,"")</f>
        <v>8</v>
      </c>
      <c r="X13" s="3">
        <f t="shared" ref="X13:AC17" si="6">IF(AND(W13&gt;0,W13&lt;$T$10),W13+1,"")</f>
        <v>9</v>
      </c>
      <c r="Y13" s="3">
        <f t="shared" si="6"/>
        <v>10</v>
      </c>
      <c r="Z13" s="3">
        <f t="shared" si="6"/>
        <v>11</v>
      </c>
      <c r="AA13" s="3">
        <f t="shared" si="6"/>
        <v>12</v>
      </c>
      <c r="AB13" s="25">
        <f t="shared" si="6"/>
        <v>13</v>
      </c>
      <c r="AC13" s="25">
        <f t="shared" si="6"/>
        <v>14</v>
      </c>
      <c r="AK13" s="3">
        <f>IF(AND(AQ12&gt;0,AQ12&lt;$AH$10),AQ12+1,"")</f>
        <v>6</v>
      </c>
      <c r="AL13" s="3">
        <f t="shared" ref="AL13:AQ17" si="7">IF(AND(AK13&gt;0,AK13&lt;$AH$10),AK13+1,"")</f>
        <v>7</v>
      </c>
      <c r="AM13" s="3">
        <f t="shared" si="7"/>
        <v>8</v>
      </c>
      <c r="AN13" s="3">
        <f t="shared" si="7"/>
        <v>9</v>
      </c>
      <c r="AO13" s="3">
        <f t="shared" si="7"/>
        <v>10</v>
      </c>
      <c r="AP13" s="25">
        <f t="shared" si="7"/>
        <v>11</v>
      </c>
      <c r="AQ13" s="25">
        <f t="shared" si="7"/>
        <v>12</v>
      </c>
      <c r="AY13" s="39">
        <f>IF(AND(BE12&gt;0,BE12&lt;$AV$10),BE12+1,"")</f>
        <v>3</v>
      </c>
      <c r="AZ13" s="39">
        <f t="shared" ref="AZ13:BE17" si="8">IF(AND(AY13&gt;0,AY13&lt;$AV$10),AY13+1,"")</f>
        <v>4</v>
      </c>
      <c r="BA13" s="3">
        <f t="shared" si="8"/>
        <v>5</v>
      </c>
      <c r="BB13" s="3">
        <f t="shared" si="8"/>
        <v>6</v>
      </c>
      <c r="BC13" s="3">
        <f t="shared" si="8"/>
        <v>7</v>
      </c>
      <c r="BD13" s="25">
        <f t="shared" si="8"/>
        <v>8</v>
      </c>
      <c r="BE13" s="25">
        <f t="shared" si="8"/>
        <v>9</v>
      </c>
      <c r="BG13" s="12"/>
      <c r="BH13" s="12"/>
      <c r="BI13" s="61"/>
      <c r="BJ13" s="61"/>
      <c r="BK13" s="12"/>
    </row>
    <row r="14" spans="1:69" x14ac:dyDescent="0.25">
      <c r="I14" s="3">
        <f>IF(AND(O13&gt;0,O13&lt;$F$10),O13+1,"")</f>
        <v>11</v>
      </c>
      <c r="J14" s="3">
        <f t="shared" si="5"/>
        <v>12</v>
      </c>
      <c r="K14" s="3">
        <f t="shared" si="5"/>
        <v>13</v>
      </c>
      <c r="L14" s="3">
        <f t="shared" si="5"/>
        <v>14</v>
      </c>
      <c r="M14" s="3">
        <f t="shared" si="5"/>
        <v>15</v>
      </c>
      <c r="N14" s="25">
        <f t="shared" si="5"/>
        <v>16</v>
      </c>
      <c r="O14" s="25">
        <f t="shared" si="5"/>
        <v>17</v>
      </c>
      <c r="W14" s="3">
        <f>IF(AND(AC13&gt;0,AC13&lt;$T$10),AC13+1,"")</f>
        <v>15</v>
      </c>
      <c r="X14" s="3">
        <f t="shared" si="6"/>
        <v>16</v>
      </c>
      <c r="Y14" s="3">
        <f t="shared" si="6"/>
        <v>17</v>
      </c>
      <c r="Z14" s="3">
        <f t="shared" si="6"/>
        <v>18</v>
      </c>
      <c r="AA14" s="3">
        <f t="shared" si="6"/>
        <v>19</v>
      </c>
      <c r="AB14" s="25">
        <f t="shared" si="6"/>
        <v>20</v>
      </c>
      <c r="AC14" s="25">
        <f t="shared" si="6"/>
        <v>21</v>
      </c>
      <c r="AK14" s="3">
        <f>IF(AND(AQ13&gt;0,AQ13&lt;$AH$10),AQ13+1,"")</f>
        <v>13</v>
      </c>
      <c r="AL14" s="3">
        <f t="shared" si="7"/>
        <v>14</v>
      </c>
      <c r="AM14" s="39">
        <f t="shared" si="7"/>
        <v>15</v>
      </c>
      <c r="AN14" s="39">
        <f t="shared" si="7"/>
        <v>16</v>
      </c>
      <c r="AO14" s="39">
        <f t="shared" si="7"/>
        <v>17</v>
      </c>
      <c r="AP14" s="25">
        <f t="shared" si="7"/>
        <v>18</v>
      </c>
      <c r="AQ14" s="25">
        <f t="shared" si="7"/>
        <v>19</v>
      </c>
      <c r="AY14" s="3">
        <f>IF(AND(BE13&gt;0,BE13&lt;$AV$10),BE13+1,"")</f>
        <v>10</v>
      </c>
      <c r="AZ14" s="3">
        <f t="shared" si="8"/>
        <v>11</v>
      </c>
      <c r="BA14" s="3">
        <f t="shared" si="8"/>
        <v>12</v>
      </c>
      <c r="BB14" s="3">
        <f t="shared" si="8"/>
        <v>13</v>
      </c>
      <c r="BC14" s="3">
        <f t="shared" si="8"/>
        <v>14</v>
      </c>
      <c r="BD14" s="48">
        <f t="shared" si="8"/>
        <v>15</v>
      </c>
      <c r="BE14" s="25">
        <f t="shared" si="8"/>
        <v>16</v>
      </c>
    </row>
    <row r="15" spans="1:69" ht="15.75" thickBot="1" x14ac:dyDescent="0.3">
      <c r="I15" s="3">
        <f>IF(AND(O14&gt;0,O14&lt;$F$10),O14+1,"")</f>
        <v>18</v>
      </c>
      <c r="J15" s="3">
        <f t="shared" si="5"/>
        <v>19</v>
      </c>
      <c r="K15" s="3">
        <f t="shared" si="5"/>
        <v>20</v>
      </c>
      <c r="L15" s="3">
        <f t="shared" si="5"/>
        <v>21</v>
      </c>
      <c r="M15" s="3">
        <f t="shared" si="5"/>
        <v>22</v>
      </c>
      <c r="N15" s="25">
        <f t="shared" si="5"/>
        <v>23</v>
      </c>
      <c r="O15" s="25">
        <f t="shared" si="5"/>
        <v>24</v>
      </c>
      <c r="W15" s="49">
        <f>IF(AND(AC14&gt;0,AC14&lt;$T$10),AC14+1,"")</f>
        <v>22</v>
      </c>
      <c r="X15" s="3">
        <f t="shared" si="6"/>
        <v>23</v>
      </c>
      <c r="Y15" s="47">
        <f t="shared" si="6"/>
        <v>24</v>
      </c>
      <c r="Z15" s="3">
        <f t="shared" si="6"/>
        <v>25</v>
      </c>
      <c r="AA15" s="3">
        <f t="shared" si="6"/>
        <v>26</v>
      </c>
      <c r="AB15" s="25">
        <f t="shared" si="6"/>
        <v>27</v>
      </c>
      <c r="AC15" s="25">
        <f t="shared" si="6"/>
        <v>28</v>
      </c>
      <c r="AK15" s="3">
        <f>IF(AND(AQ14&gt;0,AQ14&lt;$AH$10),AQ14+1,"")</f>
        <v>20</v>
      </c>
      <c r="AL15" s="3">
        <f t="shared" si="7"/>
        <v>21</v>
      </c>
      <c r="AM15" s="3">
        <f t="shared" si="7"/>
        <v>22</v>
      </c>
      <c r="AN15" s="3">
        <f t="shared" si="7"/>
        <v>23</v>
      </c>
      <c r="AO15" s="3">
        <f t="shared" si="7"/>
        <v>24</v>
      </c>
      <c r="AP15" s="25">
        <f t="shared" si="7"/>
        <v>25</v>
      </c>
      <c r="AQ15" s="25">
        <f t="shared" si="7"/>
        <v>26</v>
      </c>
      <c r="AY15" s="3">
        <f>IF(AND(BE14&gt;0,BE14&lt;$AV$10),BE14+1,"")</f>
        <v>17</v>
      </c>
      <c r="AZ15" s="3">
        <f t="shared" si="8"/>
        <v>18</v>
      </c>
      <c r="BA15" s="3">
        <f t="shared" si="8"/>
        <v>19</v>
      </c>
      <c r="BB15" s="3">
        <f t="shared" si="8"/>
        <v>20</v>
      </c>
      <c r="BC15" s="3">
        <f t="shared" si="8"/>
        <v>21</v>
      </c>
      <c r="BD15" s="25">
        <f t="shared" si="8"/>
        <v>22</v>
      </c>
      <c r="BE15" s="25">
        <f t="shared" si="8"/>
        <v>23</v>
      </c>
    </row>
    <row r="16" spans="1:69" ht="15.75" thickBot="1" x14ac:dyDescent="0.3">
      <c r="I16" s="3">
        <f>IF(AND(O15&gt;0,O15&lt;$F$10),O15+1,"")</f>
        <v>25</v>
      </c>
      <c r="J16" s="3">
        <f t="shared" si="5"/>
        <v>26</v>
      </c>
      <c r="K16" s="3">
        <f t="shared" si="5"/>
        <v>27</v>
      </c>
      <c r="L16" s="3">
        <f t="shared" si="5"/>
        <v>28</v>
      </c>
      <c r="M16" s="3">
        <f t="shared" si="5"/>
        <v>29</v>
      </c>
      <c r="N16" s="25">
        <f t="shared" si="5"/>
        <v>30</v>
      </c>
      <c r="O16" s="25">
        <f t="shared" si="5"/>
        <v>31</v>
      </c>
      <c r="W16" s="3">
        <f>IF(AND(AC15&gt;0,AC15&lt;$T$10),AC15+1,"")</f>
        <v>29</v>
      </c>
      <c r="X16" s="3">
        <f t="shared" si="6"/>
        <v>30</v>
      </c>
      <c r="Y16" s="3" t="str">
        <f t="shared" si="6"/>
        <v/>
      </c>
      <c r="Z16" s="3" t="str">
        <f t="shared" si="6"/>
        <v/>
      </c>
      <c r="AA16" s="3" t="str">
        <f t="shared" si="6"/>
        <v/>
      </c>
      <c r="AB16" s="25" t="str">
        <f t="shared" si="6"/>
        <v/>
      </c>
      <c r="AC16" s="25" t="str">
        <f t="shared" si="6"/>
        <v/>
      </c>
      <c r="AK16" s="3">
        <f>IF(AND(AQ15&gt;0,AQ15&lt;$AH$10),AQ15+1,"")</f>
        <v>27</v>
      </c>
      <c r="AL16" s="3">
        <f t="shared" si="7"/>
        <v>28</v>
      </c>
      <c r="AM16" s="3">
        <f t="shared" si="7"/>
        <v>29</v>
      </c>
      <c r="AN16" s="3">
        <f t="shared" si="7"/>
        <v>30</v>
      </c>
      <c r="AO16" s="3">
        <f t="shared" si="7"/>
        <v>31</v>
      </c>
      <c r="AP16" s="25" t="str">
        <f t="shared" si="7"/>
        <v/>
      </c>
      <c r="AQ16" s="25" t="str">
        <f t="shared" si="7"/>
        <v/>
      </c>
      <c r="AY16" s="3">
        <f>IF(AND(BE15&gt;0,BE15&lt;$AV$10),BE15+1,"")</f>
        <v>24</v>
      </c>
      <c r="AZ16" s="3">
        <f t="shared" si="8"/>
        <v>25</v>
      </c>
      <c r="BA16" s="39">
        <f t="shared" si="8"/>
        <v>26</v>
      </c>
      <c r="BB16" s="39">
        <f t="shared" si="8"/>
        <v>27</v>
      </c>
      <c r="BC16" s="39">
        <f t="shared" si="8"/>
        <v>28</v>
      </c>
      <c r="BD16" s="25">
        <f t="shared" si="8"/>
        <v>29</v>
      </c>
      <c r="BE16" s="25">
        <f t="shared" si="8"/>
        <v>30</v>
      </c>
      <c r="BH16" s="62" t="s">
        <v>34</v>
      </c>
      <c r="BI16" s="63"/>
    </row>
    <row r="17" spans="1:61" ht="16.5" thickBot="1" x14ac:dyDescent="0.35">
      <c r="I17" s="3" t="str">
        <f>IF(AND(O16&gt;0,O16&lt;$F$10),O16+1,"")</f>
        <v/>
      </c>
      <c r="J17" s="3" t="str">
        <f t="shared" si="5"/>
        <v/>
      </c>
      <c r="K17" s="3" t="str">
        <f t="shared" si="5"/>
        <v/>
      </c>
      <c r="L17" s="3" t="str">
        <f t="shared" si="5"/>
        <v/>
      </c>
      <c r="M17" s="3" t="str">
        <f t="shared" si="5"/>
        <v/>
      </c>
      <c r="N17" s="25" t="str">
        <f t="shared" si="5"/>
        <v/>
      </c>
      <c r="O17" s="25" t="str">
        <f t="shared" si="5"/>
        <v/>
      </c>
      <c r="W17" s="3" t="str">
        <f>IF(AND(AC16&gt;0,AC16&lt;$T$10),AC16+1,"")</f>
        <v/>
      </c>
      <c r="X17" s="3" t="str">
        <f t="shared" si="6"/>
        <v/>
      </c>
      <c r="Y17" s="3" t="str">
        <f t="shared" si="6"/>
        <v/>
      </c>
      <c r="Z17" s="3" t="str">
        <f t="shared" si="6"/>
        <v/>
      </c>
      <c r="AA17" s="3" t="str">
        <f t="shared" si="6"/>
        <v/>
      </c>
      <c r="AB17" s="25" t="str">
        <f t="shared" si="6"/>
        <v/>
      </c>
      <c r="AC17" s="25" t="str">
        <f t="shared" si="6"/>
        <v/>
      </c>
      <c r="AK17" s="3" t="str">
        <f>IF(AND(AQ16&gt;0,AQ16&lt;$AH$10),AQ16+1,"")</f>
        <v/>
      </c>
      <c r="AL17" s="3" t="str">
        <f t="shared" si="7"/>
        <v/>
      </c>
      <c r="AM17" s="3" t="str">
        <f t="shared" si="7"/>
        <v/>
      </c>
      <c r="AN17" s="3" t="str">
        <f t="shared" si="7"/>
        <v/>
      </c>
      <c r="AO17" s="3" t="str">
        <f t="shared" si="7"/>
        <v/>
      </c>
      <c r="AP17" s="25" t="str">
        <f t="shared" si="7"/>
        <v/>
      </c>
      <c r="AQ17" s="25" t="str">
        <f t="shared" si="7"/>
        <v/>
      </c>
      <c r="AY17" s="3">
        <f>IF(AND(BE16&gt;0,BE16&lt;$AV$10),BE16+1,"")</f>
        <v>31</v>
      </c>
      <c r="AZ17" s="3" t="str">
        <f t="shared" si="8"/>
        <v/>
      </c>
      <c r="BA17" s="3" t="str">
        <f t="shared" si="8"/>
        <v/>
      </c>
      <c r="BB17" s="3" t="str">
        <f t="shared" si="8"/>
        <v/>
      </c>
      <c r="BC17" s="3" t="str">
        <f t="shared" si="8"/>
        <v/>
      </c>
      <c r="BD17" s="25" t="str">
        <f t="shared" si="8"/>
        <v/>
      </c>
      <c r="BE17" s="25" t="str">
        <f t="shared" si="8"/>
        <v/>
      </c>
      <c r="BH17" s="20" t="s">
        <v>0</v>
      </c>
      <c r="BI17" s="24">
        <f>B2</f>
        <v>2020</v>
      </c>
    </row>
    <row r="18" spans="1:61" x14ac:dyDescent="0.25">
      <c r="A18" s="4"/>
      <c r="B18" s="4"/>
      <c r="C18" s="4"/>
      <c r="D18" s="4"/>
      <c r="E18" s="4"/>
      <c r="F18" s="4"/>
      <c r="G18" s="4"/>
      <c r="H18" s="4"/>
      <c r="I18" s="5"/>
      <c r="J18" s="5"/>
      <c r="K18" s="5"/>
      <c r="L18" s="5"/>
      <c r="M18" s="5"/>
      <c r="N18" s="5"/>
      <c r="O18" s="5"/>
      <c r="P18" s="4"/>
      <c r="Q18" s="4"/>
      <c r="R18" s="4"/>
      <c r="S18" s="4"/>
      <c r="T18" s="4"/>
      <c r="U18" s="4"/>
      <c r="V18" s="4"/>
      <c r="W18" s="5"/>
      <c r="X18" s="5"/>
      <c r="Y18" s="5"/>
      <c r="Z18" s="5"/>
      <c r="AA18" s="5"/>
      <c r="AB18" s="5"/>
      <c r="AC18" s="5"/>
      <c r="AD18" s="4"/>
      <c r="AE18" s="4"/>
      <c r="AF18" s="4"/>
      <c r="AG18" s="4"/>
      <c r="AH18" s="4"/>
      <c r="AI18" s="4"/>
      <c r="AJ18" s="4"/>
      <c r="AK18" s="5"/>
      <c r="AL18" s="5"/>
      <c r="AM18" s="5"/>
      <c r="AN18" s="5"/>
      <c r="AO18" s="5"/>
      <c r="AP18" s="5"/>
      <c r="AQ18" s="5"/>
      <c r="AR18" s="4"/>
      <c r="AS18" s="4"/>
      <c r="AT18" s="4"/>
      <c r="AU18" s="4"/>
      <c r="AV18" s="4"/>
      <c r="AW18" s="4"/>
      <c r="AX18" s="4"/>
      <c r="AY18" s="5"/>
      <c r="AZ18" s="5"/>
      <c r="BA18" s="5"/>
      <c r="BB18" s="5"/>
      <c r="BC18" s="5"/>
      <c r="BD18" s="5"/>
      <c r="BE18" s="5"/>
      <c r="BF18" s="4"/>
      <c r="BG18" s="4"/>
      <c r="BH18" s="21">
        <v>23</v>
      </c>
      <c r="BI18" s="21" t="s">
        <v>31</v>
      </c>
    </row>
    <row r="19" spans="1:61" x14ac:dyDescent="0.25">
      <c r="C19" s="1">
        <f>DATE($B$2,E19,1)</f>
        <v>44075</v>
      </c>
      <c r="E19">
        <v>9</v>
      </c>
      <c r="F19">
        <f>DAY(EOMONTH(C19,0))</f>
        <v>30</v>
      </c>
      <c r="G19">
        <f>WEEKDAY(DATE($B$2,E19,1),2)</f>
        <v>2</v>
      </c>
      <c r="I19" s="57" t="s">
        <v>17</v>
      </c>
      <c r="J19" s="57"/>
      <c r="K19" s="57"/>
      <c r="L19" s="57"/>
      <c r="M19" s="57"/>
      <c r="N19" s="57"/>
      <c r="O19" s="57"/>
      <c r="Q19" s="1">
        <f>DATE($B$2,S19,1)</f>
        <v>44105</v>
      </c>
      <c r="S19">
        <v>10</v>
      </c>
      <c r="T19">
        <f>DAY(EOMONTH(Q19,0))</f>
        <v>31</v>
      </c>
      <c r="U19">
        <f>WEEKDAY(DATE($B$2,S19,1),2)</f>
        <v>4</v>
      </c>
      <c r="W19" s="57" t="s">
        <v>18</v>
      </c>
      <c r="X19" s="57"/>
      <c r="Y19" s="57"/>
      <c r="Z19" s="57"/>
      <c r="AA19" s="57"/>
      <c r="AB19" s="57"/>
      <c r="AC19" s="57"/>
      <c r="AE19" s="1">
        <f>DATE($B$2,AG19,1)</f>
        <v>44136</v>
      </c>
      <c r="AG19">
        <v>11</v>
      </c>
      <c r="AH19">
        <f>DAY(EOMONTH(AE19,0))</f>
        <v>30</v>
      </c>
      <c r="AI19">
        <f>WEEKDAY(DATE($B$2,AG19,1),2)</f>
        <v>7</v>
      </c>
      <c r="AK19" s="57" t="s">
        <v>19</v>
      </c>
      <c r="AL19" s="57"/>
      <c r="AM19" s="57"/>
      <c r="AN19" s="57"/>
      <c r="AO19" s="57"/>
      <c r="AP19" s="57"/>
      <c r="AQ19" s="57"/>
      <c r="AS19" s="1">
        <f>DATE($B$2,AU19,1)</f>
        <v>44166</v>
      </c>
      <c r="AU19">
        <v>12</v>
      </c>
      <c r="AV19">
        <f>DAY(EOMONTH(AS19,0))</f>
        <v>31</v>
      </c>
      <c r="AW19">
        <f>WEEKDAY(DATE($B$2,AU19,1),2)</f>
        <v>2</v>
      </c>
      <c r="AY19" s="57" t="s">
        <v>20</v>
      </c>
      <c r="AZ19" s="57"/>
      <c r="BA19" s="57"/>
      <c r="BB19" s="57"/>
      <c r="BC19" s="57"/>
      <c r="BD19" s="57"/>
      <c r="BE19" s="57"/>
      <c r="BH19" s="22">
        <f ca="1">CONTARCOLOR(BH11,I1:BE26)</f>
        <v>23</v>
      </c>
      <c r="BI19" s="22" t="s">
        <v>32</v>
      </c>
    </row>
    <row r="20" spans="1:61" ht="15.75" thickBot="1" x14ac:dyDescent="0.3">
      <c r="I20" s="2" t="s">
        <v>3</v>
      </c>
      <c r="J20" s="2" t="s">
        <v>4</v>
      </c>
      <c r="K20" s="2" t="s">
        <v>5</v>
      </c>
      <c r="L20" s="2" t="s">
        <v>6</v>
      </c>
      <c r="M20" s="2" t="s">
        <v>7</v>
      </c>
      <c r="N20" s="2" t="s">
        <v>8</v>
      </c>
      <c r="O20" s="2" t="s">
        <v>9</v>
      </c>
      <c r="W20" s="2" t="s">
        <v>3</v>
      </c>
      <c r="X20" s="2" t="s">
        <v>4</v>
      </c>
      <c r="Y20" s="2" t="s">
        <v>5</v>
      </c>
      <c r="Z20" s="2" t="s">
        <v>6</v>
      </c>
      <c r="AA20" s="2" t="s">
        <v>7</v>
      </c>
      <c r="AB20" s="2" t="s">
        <v>8</v>
      </c>
      <c r="AC20" s="2" t="s">
        <v>9</v>
      </c>
      <c r="AK20" s="2" t="s">
        <v>3</v>
      </c>
      <c r="AL20" s="2" t="s">
        <v>4</v>
      </c>
      <c r="AM20" s="2" t="s">
        <v>5</v>
      </c>
      <c r="AN20" s="2" t="s">
        <v>6</v>
      </c>
      <c r="AO20" s="2" t="s">
        <v>7</v>
      </c>
      <c r="AP20" s="2" t="s">
        <v>8</v>
      </c>
      <c r="AQ20" s="2" t="s">
        <v>9</v>
      </c>
      <c r="AY20" s="2" t="s">
        <v>3</v>
      </c>
      <c r="AZ20" s="2" t="s">
        <v>4</v>
      </c>
      <c r="BA20" s="2" t="s">
        <v>5</v>
      </c>
      <c r="BB20" s="2" t="s">
        <v>6</v>
      </c>
      <c r="BC20" s="2" t="s">
        <v>7</v>
      </c>
      <c r="BD20" s="2" t="s">
        <v>8</v>
      </c>
      <c r="BE20" s="2" t="s">
        <v>9</v>
      </c>
      <c r="BH20" s="23">
        <f ca="1">BH18-BH19</f>
        <v>0</v>
      </c>
      <c r="BI20" s="23" t="s">
        <v>33</v>
      </c>
    </row>
    <row r="21" spans="1:61" x14ac:dyDescent="0.25">
      <c r="I21" s="3" t="str">
        <f>IF($G$19=1,1,"")</f>
        <v/>
      </c>
      <c r="J21" s="3">
        <f>IF(NOT(I21=""),I21+1,IF($G$19=2,1,""))</f>
        <v>1</v>
      </c>
      <c r="K21" s="3">
        <f>IF(NOT(J21=""),J21+1,IF($G$19=3,1,""))</f>
        <v>2</v>
      </c>
      <c r="L21" s="3">
        <f>IF(NOT(K21=""),K21+1,IF($G$19=4,1,""))</f>
        <v>3</v>
      </c>
      <c r="M21" s="3">
        <f>IF(NOT(L21=""),L21+1,IF($G$19=5,1,""))</f>
        <v>4</v>
      </c>
      <c r="N21" s="25">
        <f>IF(NOT(M21=""),M21+1,IF($G$19=6,1,""))</f>
        <v>5</v>
      </c>
      <c r="O21" s="25">
        <f>IF(NOT(N21=""),N21+1,IF($G$19=7,1,""))</f>
        <v>6</v>
      </c>
      <c r="W21" s="3" t="str">
        <f>IF($U$19=1,1,"")</f>
        <v/>
      </c>
      <c r="X21" s="3" t="str">
        <f>IF(NOT(W21=""),W21+1,IF($U$19=2,1,""))</f>
        <v/>
      </c>
      <c r="Y21" s="3" t="str">
        <f>IF(NOT(X21=""),X21+1,IF($U$19=3,1,""))</f>
        <v/>
      </c>
      <c r="Z21" s="3">
        <f>IF(NOT(Y21=""),Y21+1,IF($U$19=4,1,""))</f>
        <v>1</v>
      </c>
      <c r="AA21" s="3">
        <f>IF(NOT(Z21=""),Z21+1,IF($U$19=5,1,""))</f>
        <v>2</v>
      </c>
      <c r="AB21" s="25">
        <f>IF(NOT(AA21=""),AA21+1,IF($U$19=6,1,""))</f>
        <v>3</v>
      </c>
      <c r="AC21" s="25">
        <f>IF(NOT(AB21=""),AB21+1,IF($U$19=7,1,""))</f>
        <v>4</v>
      </c>
      <c r="AK21" s="3" t="str">
        <f>IF($AI$19=1,1,"")</f>
        <v/>
      </c>
      <c r="AL21" s="3" t="str">
        <f>IF(NOT(AK21=""),AK21+1,IF($AI$19=2,1,""))</f>
        <v/>
      </c>
      <c r="AM21" s="3" t="str">
        <f>IF(NOT(AL21=""),AL21+1,IF($AI$19=3,1,""))</f>
        <v/>
      </c>
      <c r="AN21" s="3" t="str">
        <f>IF(NOT(AM21=""),AM21+1,IF($AI$19=4,1,""))</f>
        <v/>
      </c>
      <c r="AO21" s="3" t="str">
        <f>IF(NOT(AN21=""),AN21+1,IF($AI$19=5,1,""))</f>
        <v/>
      </c>
      <c r="AP21" s="25" t="str">
        <f>IF(NOT(AO21=""),AO21+1,IF($AI$19=6,1,""))</f>
        <v/>
      </c>
      <c r="AQ21" s="25">
        <f>IF(NOT(AP21=""),AP21+1,IF($AI$19=7,1,""))</f>
        <v>1</v>
      </c>
      <c r="AY21" s="3" t="str">
        <f>IF($AW$19=1,1,"")</f>
        <v/>
      </c>
      <c r="AZ21" s="3">
        <f>IF(NOT(AY21=""),AY21+1,IF($AW$19=2,1,""))</f>
        <v>1</v>
      </c>
      <c r="BA21" s="3">
        <f>IF(NOT(AZ21=""),AZ21+1,IF($AW$19=3,1,""))</f>
        <v>2</v>
      </c>
      <c r="BB21" s="3">
        <f>IF(NOT(BA21=""),BA21+1,IF($AW$19=4,1,""))</f>
        <v>3</v>
      </c>
      <c r="BC21" s="3">
        <f>IF(NOT(BB21=""),BB21+1,IF($AW$19=5,1,""))</f>
        <v>4</v>
      </c>
      <c r="BD21" s="25">
        <f>IF(NOT(BC21=""),BC21+1,IF($AW$19=6,1,""))</f>
        <v>5</v>
      </c>
      <c r="BE21" s="48">
        <f>IF(NOT(BD21=""),BD21+1,IF($AW$19=7,1,""))</f>
        <v>6</v>
      </c>
    </row>
    <row r="22" spans="1:61" x14ac:dyDescent="0.25">
      <c r="I22" s="3">
        <f>IF(AND(O21&gt;0,O21&lt;$F$19),O21+1,"")</f>
        <v>7</v>
      </c>
      <c r="J22" s="3">
        <f t="shared" ref="J22:O26" si="9">IF(AND(I22&gt;0,I22&lt;$F$19),I22+1,"")</f>
        <v>8</v>
      </c>
      <c r="K22" s="3">
        <f t="shared" si="9"/>
        <v>9</v>
      </c>
      <c r="L22" s="3">
        <f t="shared" si="9"/>
        <v>10</v>
      </c>
      <c r="M22" s="3">
        <f t="shared" si="9"/>
        <v>11</v>
      </c>
      <c r="N22" s="25">
        <f t="shared" si="9"/>
        <v>12</v>
      </c>
      <c r="O22" s="25">
        <f t="shared" si="9"/>
        <v>13</v>
      </c>
      <c r="W22" s="3">
        <f>IF(AND(AC21&gt;0,AC21&lt;$T$19),AC21+1,"")</f>
        <v>5</v>
      </c>
      <c r="X22" s="3">
        <f t="shared" ref="X22:AC26" si="10">IF(AND(W22&gt;0,W22&lt;$T$19),W22+1,"")</f>
        <v>6</v>
      </c>
      <c r="Y22" s="3">
        <f t="shared" si="10"/>
        <v>7</v>
      </c>
      <c r="Z22" s="3">
        <f t="shared" si="10"/>
        <v>8</v>
      </c>
      <c r="AA22" s="47">
        <f t="shared" si="10"/>
        <v>9</v>
      </c>
      <c r="AB22" s="25">
        <f t="shared" si="10"/>
        <v>10</v>
      </c>
      <c r="AC22" s="25">
        <f t="shared" si="10"/>
        <v>11</v>
      </c>
      <c r="AK22" s="3">
        <f>IF(AND(AQ21&gt;0,AQ21&lt;$AH$19),AQ21+1,"")</f>
        <v>2</v>
      </c>
      <c r="AL22" s="3">
        <f t="shared" ref="AL22:AQ26" si="11">IF(AND(AK22&gt;0,AK22&lt;$AH$19),AK22+1,"")</f>
        <v>3</v>
      </c>
      <c r="AM22" s="3">
        <f t="shared" si="11"/>
        <v>4</v>
      </c>
      <c r="AN22" s="3">
        <f t="shared" si="11"/>
        <v>5</v>
      </c>
      <c r="AO22" s="3">
        <f t="shared" si="11"/>
        <v>6</v>
      </c>
      <c r="AP22" s="25">
        <f t="shared" si="11"/>
        <v>7</v>
      </c>
      <c r="AQ22" s="25">
        <f t="shared" si="11"/>
        <v>8</v>
      </c>
      <c r="AY22" s="39">
        <f>IF(AND(BE21&gt;0,BE21&lt;$AV$19),BE21+1,"")</f>
        <v>7</v>
      </c>
      <c r="AZ22" s="48">
        <f t="shared" ref="AZ22:BE26" si="12">IF(AND(AY22&gt;0,AY22&lt;$AV$19),AY22+1,"")</f>
        <v>8</v>
      </c>
      <c r="BA22" s="39">
        <f t="shared" si="12"/>
        <v>9</v>
      </c>
      <c r="BB22" s="39">
        <f t="shared" si="12"/>
        <v>10</v>
      </c>
      <c r="BC22" s="39">
        <f t="shared" si="12"/>
        <v>11</v>
      </c>
      <c r="BD22" s="25">
        <f t="shared" si="12"/>
        <v>12</v>
      </c>
      <c r="BE22" s="25">
        <f t="shared" si="12"/>
        <v>13</v>
      </c>
    </row>
    <row r="23" spans="1:61" x14ac:dyDescent="0.25">
      <c r="I23" s="3">
        <f>IF(AND(O22&gt;0,O22&lt;$F$19),O22+1,"")</f>
        <v>14</v>
      </c>
      <c r="J23" s="3">
        <f t="shared" si="9"/>
        <v>15</v>
      </c>
      <c r="K23" s="3">
        <f t="shared" si="9"/>
        <v>16</v>
      </c>
      <c r="L23" s="3">
        <f t="shared" si="9"/>
        <v>17</v>
      </c>
      <c r="M23" s="3">
        <f t="shared" si="9"/>
        <v>18</v>
      </c>
      <c r="N23" s="25">
        <f t="shared" si="9"/>
        <v>19</v>
      </c>
      <c r="O23" s="25">
        <f t="shared" si="9"/>
        <v>20</v>
      </c>
      <c r="W23" s="48">
        <f>IF(AND(AC22&gt;0,AC22&lt;$T$19),AC22+1,"")</f>
        <v>12</v>
      </c>
      <c r="X23" s="3">
        <f t="shared" si="10"/>
        <v>13</v>
      </c>
      <c r="Y23" s="3">
        <f t="shared" si="10"/>
        <v>14</v>
      </c>
      <c r="Z23" s="3">
        <f t="shared" si="10"/>
        <v>15</v>
      </c>
      <c r="AA23" s="3">
        <f t="shared" si="10"/>
        <v>16</v>
      </c>
      <c r="AB23" s="25">
        <f t="shared" si="10"/>
        <v>17</v>
      </c>
      <c r="AC23" s="25">
        <f t="shared" si="10"/>
        <v>18</v>
      </c>
      <c r="AK23" s="3">
        <f>IF(AND(AQ22&gt;0,AQ22&lt;$AH$19),AQ22+1,"")</f>
        <v>9</v>
      </c>
      <c r="AL23" s="3">
        <f t="shared" si="11"/>
        <v>10</v>
      </c>
      <c r="AM23" s="3">
        <f t="shared" si="11"/>
        <v>11</v>
      </c>
      <c r="AN23" s="3">
        <f t="shared" si="11"/>
        <v>12</v>
      </c>
      <c r="AO23" s="3">
        <f t="shared" si="11"/>
        <v>13</v>
      </c>
      <c r="AP23" s="25">
        <f t="shared" si="11"/>
        <v>14</v>
      </c>
      <c r="AQ23" s="25">
        <f t="shared" si="11"/>
        <v>15</v>
      </c>
      <c r="AY23" s="3">
        <f>IF(AND(BE22&gt;0,BE22&lt;$AV$19),BE22+1,"")</f>
        <v>14</v>
      </c>
      <c r="AZ23" s="3">
        <f t="shared" si="12"/>
        <v>15</v>
      </c>
      <c r="BA23" s="3">
        <f t="shared" si="12"/>
        <v>16</v>
      </c>
      <c r="BB23" s="3">
        <f t="shared" si="12"/>
        <v>17</v>
      </c>
      <c r="BC23" s="3">
        <f t="shared" si="12"/>
        <v>18</v>
      </c>
      <c r="BD23" s="25">
        <f t="shared" si="12"/>
        <v>19</v>
      </c>
      <c r="BE23" s="25">
        <f t="shared" si="12"/>
        <v>20</v>
      </c>
    </row>
    <row r="24" spans="1:61" x14ac:dyDescent="0.25">
      <c r="I24" s="3">
        <f>IF(AND(O23&gt;0,O23&lt;$F$19),O23+1,"")</f>
        <v>21</v>
      </c>
      <c r="J24" s="3">
        <f t="shared" si="9"/>
        <v>22</v>
      </c>
      <c r="K24" s="3">
        <f t="shared" si="9"/>
        <v>23</v>
      </c>
      <c r="L24" s="3">
        <f t="shared" si="9"/>
        <v>24</v>
      </c>
      <c r="M24" s="3">
        <f t="shared" si="9"/>
        <v>25</v>
      </c>
      <c r="N24" s="25">
        <f t="shared" si="9"/>
        <v>26</v>
      </c>
      <c r="O24" s="25">
        <f t="shared" si="9"/>
        <v>27</v>
      </c>
      <c r="W24" s="3">
        <f>IF(AND(AC23&gt;0,AC23&lt;$T$19),AC23+1,"")</f>
        <v>19</v>
      </c>
      <c r="X24" s="3">
        <f t="shared" si="10"/>
        <v>20</v>
      </c>
      <c r="Y24" s="3">
        <f t="shared" si="10"/>
        <v>21</v>
      </c>
      <c r="Z24" s="3">
        <f t="shared" si="10"/>
        <v>22</v>
      </c>
      <c r="AA24" s="3">
        <f t="shared" si="10"/>
        <v>23</v>
      </c>
      <c r="AB24" s="25">
        <f t="shared" si="10"/>
        <v>24</v>
      </c>
      <c r="AC24" s="25">
        <f t="shared" si="10"/>
        <v>25</v>
      </c>
      <c r="AK24" s="3">
        <f>IF(AND(AQ23&gt;0,AQ23&lt;$AH$19),AQ23+1,"")</f>
        <v>16</v>
      </c>
      <c r="AL24" s="3">
        <f t="shared" si="11"/>
        <v>17</v>
      </c>
      <c r="AM24" s="3">
        <f t="shared" si="11"/>
        <v>18</v>
      </c>
      <c r="AN24" s="3">
        <f t="shared" si="11"/>
        <v>19</v>
      </c>
      <c r="AO24" s="3">
        <f t="shared" si="11"/>
        <v>20</v>
      </c>
      <c r="AP24" s="25">
        <f t="shared" si="11"/>
        <v>21</v>
      </c>
      <c r="AQ24" s="25">
        <f t="shared" si="11"/>
        <v>22</v>
      </c>
      <c r="AY24" s="3">
        <f>IF(AND(BE23&gt;0,BE23&lt;$AV$19),BE23+1,"")</f>
        <v>21</v>
      </c>
      <c r="AZ24" s="3">
        <f t="shared" si="12"/>
        <v>22</v>
      </c>
      <c r="BA24" s="3">
        <f t="shared" si="12"/>
        <v>23</v>
      </c>
      <c r="BB24" s="39">
        <f t="shared" si="12"/>
        <v>24</v>
      </c>
      <c r="BC24" s="48">
        <f t="shared" si="12"/>
        <v>25</v>
      </c>
      <c r="BD24" s="25">
        <f t="shared" si="12"/>
        <v>26</v>
      </c>
      <c r="BE24" s="25">
        <f t="shared" si="12"/>
        <v>27</v>
      </c>
    </row>
    <row r="25" spans="1:61" x14ac:dyDescent="0.25">
      <c r="I25" s="3">
        <f>IF(AND(O24&gt;0,O24&lt;$F$19),O24+1,"")</f>
        <v>28</v>
      </c>
      <c r="J25" s="3">
        <f t="shared" si="9"/>
        <v>29</v>
      </c>
      <c r="K25" s="3">
        <f t="shared" si="9"/>
        <v>30</v>
      </c>
      <c r="L25" s="3" t="str">
        <f t="shared" si="9"/>
        <v/>
      </c>
      <c r="M25" s="3" t="str">
        <f t="shared" si="9"/>
        <v/>
      </c>
      <c r="N25" s="25" t="str">
        <f t="shared" si="9"/>
        <v/>
      </c>
      <c r="O25" s="25" t="str">
        <f t="shared" si="9"/>
        <v/>
      </c>
      <c r="W25" s="3">
        <f>IF(AND(AC24&gt;0,AC24&lt;$T$19),AC24+1,"")</f>
        <v>26</v>
      </c>
      <c r="X25" s="3">
        <f t="shared" si="10"/>
        <v>27</v>
      </c>
      <c r="Y25" s="3">
        <f t="shared" si="10"/>
        <v>28</v>
      </c>
      <c r="Z25" s="3">
        <f t="shared" si="10"/>
        <v>29</v>
      </c>
      <c r="AA25" s="3">
        <f t="shared" si="10"/>
        <v>30</v>
      </c>
      <c r="AB25" s="25">
        <f t="shared" si="10"/>
        <v>31</v>
      </c>
      <c r="AC25" s="25" t="str">
        <f t="shared" si="10"/>
        <v/>
      </c>
      <c r="AK25" s="3">
        <f>IF(AND(AQ24&gt;0,AQ24&lt;$AH$19),AQ24+1,"")</f>
        <v>23</v>
      </c>
      <c r="AL25" s="3">
        <f t="shared" si="11"/>
        <v>24</v>
      </c>
      <c r="AM25" s="3">
        <f t="shared" si="11"/>
        <v>25</v>
      </c>
      <c r="AN25" s="3">
        <f t="shared" si="11"/>
        <v>26</v>
      </c>
      <c r="AO25" s="3">
        <f t="shared" si="11"/>
        <v>27</v>
      </c>
      <c r="AP25" s="25">
        <f t="shared" si="11"/>
        <v>28</v>
      </c>
      <c r="AQ25" s="25">
        <f t="shared" si="11"/>
        <v>29</v>
      </c>
      <c r="AY25" s="39">
        <f>IF(AND(BE24&gt;0,BE24&lt;$AV$19),BE24+1,"")</f>
        <v>28</v>
      </c>
      <c r="AZ25" s="39">
        <f t="shared" si="12"/>
        <v>29</v>
      </c>
      <c r="BA25" s="39">
        <f t="shared" si="12"/>
        <v>30</v>
      </c>
      <c r="BB25" s="39">
        <f t="shared" si="12"/>
        <v>31</v>
      </c>
      <c r="BC25" s="3" t="str">
        <f t="shared" si="12"/>
        <v/>
      </c>
      <c r="BD25" s="25" t="str">
        <f t="shared" si="12"/>
        <v/>
      </c>
      <c r="BE25" s="25" t="str">
        <f t="shared" si="12"/>
        <v/>
      </c>
    </row>
    <row r="26" spans="1:61" x14ac:dyDescent="0.25">
      <c r="I26" s="3" t="str">
        <f>IF(AND(O25&gt;0,O25&lt;$F$19),O25+1,"")</f>
        <v/>
      </c>
      <c r="J26" s="3" t="str">
        <f t="shared" si="9"/>
        <v/>
      </c>
      <c r="K26" s="3" t="str">
        <f t="shared" si="9"/>
        <v/>
      </c>
      <c r="L26" s="3" t="str">
        <f t="shared" si="9"/>
        <v/>
      </c>
      <c r="M26" s="3" t="str">
        <f t="shared" si="9"/>
        <v/>
      </c>
      <c r="N26" s="25" t="str">
        <f t="shared" si="9"/>
        <v/>
      </c>
      <c r="O26" s="25" t="str">
        <f t="shared" si="9"/>
        <v/>
      </c>
      <c r="W26" s="3" t="str">
        <f>IF(AND(AC25&gt;0,AC25&lt;$T$19),AC25+1,"")</f>
        <v/>
      </c>
      <c r="X26" s="3" t="str">
        <f t="shared" si="10"/>
        <v/>
      </c>
      <c r="Y26" s="3" t="str">
        <f t="shared" si="10"/>
        <v/>
      </c>
      <c r="Z26" s="3" t="str">
        <f t="shared" si="10"/>
        <v/>
      </c>
      <c r="AA26" s="3" t="str">
        <f t="shared" si="10"/>
        <v/>
      </c>
      <c r="AB26" s="25" t="str">
        <f t="shared" si="10"/>
        <v/>
      </c>
      <c r="AC26" s="25" t="str">
        <f t="shared" si="10"/>
        <v/>
      </c>
      <c r="AK26" s="3">
        <f>IF(AND(AQ25&gt;0,AQ25&lt;$AH$19),AQ25+1,"")</f>
        <v>30</v>
      </c>
      <c r="AL26" s="3" t="str">
        <f t="shared" si="11"/>
        <v/>
      </c>
      <c r="AM26" s="3" t="str">
        <f t="shared" si="11"/>
        <v/>
      </c>
      <c r="AN26" s="3" t="str">
        <f t="shared" si="11"/>
        <v/>
      </c>
      <c r="AO26" s="3" t="str">
        <f t="shared" si="11"/>
        <v/>
      </c>
      <c r="AP26" s="25" t="str">
        <f t="shared" si="11"/>
        <v/>
      </c>
      <c r="AQ26" s="25" t="str">
        <f t="shared" si="11"/>
        <v/>
      </c>
      <c r="AY26" s="3" t="str">
        <f>IF(AND(BE25&gt;0,BE25&lt;$AV$19),BE25+1,"")</f>
        <v/>
      </c>
      <c r="AZ26" s="3" t="str">
        <f t="shared" si="12"/>
        <v/>
      </c>
      <c r="BA26" s="3" t="str">
        <f t="shared" si="12"/>
        <v/>
      </c>
      <c r="BB26" s="3" t="str">
        <f t="shared" si="12"/>
        <v/>
      </c>
      <c r="BC26" s="3" t="str">
        <f t="shared" si="12"/>
        <v/>
      </c>
      <c r="BD26" s="25" t="str">
        <f t="shared" si="12"/>
        <v/>
      </c>
      <c r="BE26" s="25" t="str">
        <f t="shared" si="12"/>
        <v/>
      </c>
    </row>
  </sheetData>
  <mergeCells count="27">
    <mergeCell ref="A1:B1"/>
    <mergeCell ref="BI12:BJ12"/>
    <mergeCell ref="BI13:BJ13"/>
    <mergeCell ref="BH16:BI16"/>
    <mergeCell ref="AK1:AQ1"/>
    <mergeCell ref="W10:AC10"/>
    <mergeCell ref="BI11:BJ11"/>
    <mergeCell ref="A5:B5"/>
    <mergeCell ref="BI5:BJ5"/>
    <mergeCell ref="BI6:BJ6"/>
    <mergeCell ref="BI8:BJ8"/>
    <mergeCell ref="BI9:BJ9"/>
    <mergeCell ref="BI7:BJ7"/>
    <mergeCell ref="BI1:BJ1"/>
    <mergeCell ref="BH2:BJ2"/>
    <mergeCell ref="BI3:BJ3"/>
    <mergeCell ref="BI4:BJ4"/>
    <mergeCell ref="I19:O19"/>
    <mergeCell ref="AY19:BE19"/>
    <mergeCell ref="W1:AC1"/>
    <mergeCell ref="I10:O10"/>
    <mergeCell ref="AY10:BE10"/>
    <mergeCell ref="AK19:AQ19"/>
    <mergeCell ref="I1:O1"/>
    <mergeCell ref="AY1:BE1"/>
    <mergeCell ref="AK10:AQ10"/>
    <mergeCell ref="W19:AC19"/>
  </mergeCells>
  <conditionalFormatting sqref="J4:O4 I3:J3 L3:O3">
    <cfRule type="cellIs" dxfId="38" priority="21" operator="equal">
      <formula>6</formula>
    </cfRule>
  </conditionalFormatting>
  <conditionalFormatting sqref="AK3:AQ5 AK7:AQ8 AP6:AQ6">
    <cfRule type="cellIs" dxfId="37" priority="20" operator="equal">
      <formula>19</formula>
    </cfRule>
  </conditionalFormatting>
  <conditionalFormatting sqref="AY12:BE12 AY15:BE15 AY14:BC14 BE14 BA13:BE13 AY17:BE17 AY16:AZ16 BD16:BE16">
    <cfRule type="cellIs" dxfId="36" priority="19" operator="equal">
      <formula>15</formula>
    </cfRule>
  </conditionalFormatting>
  <conditionalFormatting sqref="AK6:AM6">
    <cfRule type="cellIs" dxfId="35" priority="17" operator="equal">
      <formula>6</formula>
    </cfRule>
  </conditionalFormatting>
  <conditionalFormatting sqref="AO6">
    <cfRule type="cellIs" dxfId="34" priority="15" operator="equal">
      <formula>6</formula>
    </cfRule>
  </conditionalFormatting>
  <conditionalFormatting sqref="AY13:AZ13">
    <cfRule type="cellIs" dxfId="33" priority="13" operator="equal">
      <formula>6</formula>
    </cfRule>
  </conditionalFormatting>
  <conditionalFormatting sqref="BA16:BC16">
    <cfRule type="cellIs" dxfId="32" priority="11" operator="equal">
      <formula>6</formula>
    </cfRule>
  </conditionalFormatting>
  <conditionalFormatting sqref="AY22">
    <cfRule type="cellIs" dxfId="31" priority="9" operator="equal">
      <formula>6</formula>
    </cfRule>
  </conditionalFormatting>
  <conditionalFormatting sqref="BA22:BC22">
    <cfRule type="cellIs" dxfId="30" priority="7" operator="equal">
      <formula>6</formula>
    </cfRule>
  </conditionalFormatting>
  <conditionalFormatting sqref="AY25:BB25">
    <cfRule type="cellIs" dxfId="29" priority="5" operator="equal">
      <formula>6</formula>
    </cfRule>
  </conditionalFormatting>
  <conditionalFormatting sqref="BB24">
    <cfRule type="cellIs" dxfId="28" priority="3" operator="equal">
      <formula>6</formula>
    </cfRule>
  </conditionalFormatting>
  <conditionalFormatting sqref="AM14:AO14">
    <cfRule type="cellIs" dxfId="27" priority="1" operator="equal">
      <formula>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2" operator="equal" id="{3FE76A04-C589-40D7-9F63-8DC7401497EA}">
            <xm:f>Data!$C$3</xm:f>
            <x14:dxf>
              <fill>
                <patternFill>
                  <bgColor rgb="FFFF0000"/>
                </patternFill>
              </fill>
            </x14:dxf>
          </x14:cfRule>
          <xm:sqref>I3:J3 L3:O3</xm:sqref>
        </x14:conditionalFormatting>
        <x14:conditionalFormatting xmlns:xm="http://schemas.microsoft.com/office/excel/2006/main">
          <x14:cfRule type="cellIs" priority="18" operator="equal" id="{2548B5D9-C8D2-454D-B158-56C46B2170B0}">
            <xm:f>Data!$C$3</xm:f>
            <x14:dxf>
              <fill>
                <patternFill>
                  <bgColor rgb="FFFF0000"/>
                </patternFill>
              </fill>
            </x14:dxf>
          </x14:cfRule>
          <xm:sqref>AK6:AM6</xm:sqref>
        </x14:conditionalFormatting>
        <x14:conditionalFormatting xmlns:xm="http://schemas.microsoft.com/office/excel/2006/main">
          <x14:cfRule type="cellIs" priority="16" operator="equal" id="{F944A477-E94F-42F8-A445-5EE0DED7CE78}">
            <xm:f>Data!$C$3</xm:f>
            <x14:dxf>
              <fill>
                <patternFill>
                  <bgColor rgb="FFFF0000"/>
                </patternFill>
              </fill>
            </x14:dxf>
          </x14:cfRule>
          <xm:sqref>AO6</xm:sqref>
        </x14:conditionalFormatting>
        <x14:conditionalFormatting xmlns:xm="http://schemas.microsoft.com/office/excel/2006/main">
          <x14:cfRule type="cellIs" priority="14" operator="equal" id="{D1779519-11EA-4C28-A5C8-C1BCC761F9A4}">
            <xm:f>Data!$C$3</xm:f>
            <x14:dxf>
              <fill>
                <patternFill>
                  <bgColor rgb="FFFF0000"/>
                </patternFill>
              </fill>
            </x14:dxf>
          </x14:cfRule>
          <xm:sqref>AY13:AZ13</xm:sqref>
        </x14:conditionalFormatting>
        <x14:conditionalFormatting xmlns:xm="http://schemas.microsoft.com/office/excel/2006/main">
          <x14:cfRule type="cellIs" priority="12" operator="equal" id="{37493B5F-4B16-4114-A70C-E14682F84B0F}">
            <xm:f>Data!$C$3</xm:f>
            <x14:dxf>
              <fill>
                <patternFill>
                  <bgColor rgb="FFFF0000"/>
                </patternFill>
              </fill>
            </x14:dxf>
          </x14:cfRule>
          <xm:sqref>BA16:BC16</xm:sqref>
        </x14:conditionalFormatting>
        <x14:conditionalFormatting xmlns:xm="http://schemas.microsoft.com/office/excel/2006/main">
          <x14:cfRule type="cellIs" priority="10" operator="equal" id="{DC93C312-C08D-40DB-B9CC-F7B2202E6835}">
            <xm:f>Data!$C$3</xm:f>
            <x14:dxf>
              <fill>
                <patternFill>
                  <bgColor rgb="FFFF0000"/>
                </patternFill>
              </fill>
            </x14:dxf>
          </x14:cfRule>
          <xm:sqref>AY22</xm:sqref>
        </x14:conditionalFormatting>
        <x14:conditionalFormatting xmlns:xm="http://schemas.microsoft.com/office/excel/2006/main">
          <x14:cfRule type="cellIs" priority="8" operator="equal" id="{C48183DD-DB12-4550-949C-A6FF5F21A093}">
            <xm:f>Data!$C$3</xm:f>
            <x14:dxf>
              <fill>
                <patternFill>
                  <bgColor rgb="FFFF0000"/>
                </patternFill>
              </fill>
            </x14:dxf>
          </x14:cfRule>
          <xm:sqref>BA22:BC22</xm:sqref>
        </x14:conditionalFormatting>
        <x14:conditionalFormatting xmlns:xm="http://schemas.microsoft.com/office/excel/2006/main">
          <x14:cfRule type="cellIs" priority="6" operator="equal" id="{9EAB0AB9-2D8C-4F81-B8C4-BF38D2F4FAA1}">
            <xm:f>Data!$C$3</xm:f>
            <x14:dxf>
              <fill>
                <patternFill>
                  <bgColor rgb="FFFF0000"/>
                </patternFill>
              </fill>
            </x14:dxf>
          </x14:cfRule>
          <xm:sqref>AY25:BB25</xm:sqref>
        </x14:conditionalFormatting>
        <x14:conditionalFormatting xmlns:xm="http://schemas.microsoft.com/office/excel/2006/main">
          <x14:cfRule type="cellIs" priority="4" operator="equal" id="{2B672B05-E338-405D-81FA-D2D5C3F95D16}">
            <xm:f>Data!$C$3</xm:f>
            <x14:dxf>
              <fill>
                <patternFill>
                  <bgColor rgb="FFFF0000"/>
                </patternFill>
              </fill>
            </x14:dxf>
          </x14:cfRule>
          <xm:sqref>BB24</xm:sqref>
        </x14:conditionalFormatting>
        <x14:conditionalFormatting xmlns:xm="http://schemas.microsoft.com/office/excel/2006/main">
          <x14:cfRule type="cellIs" priority="2" operator="equal" id="{A69241B0-02C5-4E2D-8235-7C9950DCFF3B}">
            <xm:f>Data!$C$3</xm:f>
            <x14:dxf>
              <fill>
                <patternFill>
                  <bgColor rgb="FFFF0000"/>
                </patternFill>
              </fill>
            </x14:dxf>
          </x14:cfRule>
          <xm:sqref>AM14:AO14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Data!$A$3:$A$41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Q51"/>
  <sheetViews>
    <sheetView tabSelected="1" zoomScale="85" zoomScaleNormal="85" workbookViewId="0">
      <selection activeCell="I3" sqref="I3:O8"/>
    </sheetView>
  </sheetViews>
  <sheetFormatPr baseColWidth="10" defaultRowHeight="15" x14ac:dyDescent="0.25"/>
  <cols>
    <col min="1" max="1" width="13.5703125" customWidth="1"/>
    <col min="2" max="2" width="16.140625" customWidth="1"/>
    <col min="3" max="3" width="10.85546875" hidden="1" customWidth="1"/>
    <col min="4" max="4" width="5" hidden="1" customWidth="1"/>
    <col min="5" max="6" width="3.7109375" hidden="1" customWidth="1"/>
    <col min="7" max="7" width="4.7109375" hidden="1" customWidth="1"/>
    <col min="8" max="8" width="4.7109375" customWidth="1"/>
    <col min="9" max="9" width="3.7109375" customWidth="1"/>
    <col min="10" max="10" width="4.28515625" customWidth="1"/>
    <col min="11" max="11" width="4.140625" customWidth="1"/>
    <col min="12" max="12" width="4" customWidth="1"/>
    <col min="13" max="13" width="3.7109375" customWidth="1"/>
    <col min="14" max="15" width="4.140625" customWidth="1"/>
    <col min="16" max="16" width="4.7109375" customWidth="1"/>
    <col min="17" max="17" width="10.85546875" hidden="1" customWidth="1"/>
    <col min="18" max="18" width="4.140625" hidden="1" customWidth="1"/>
    <col min="19" max="19" width="3.85546875" hidden="1" customWidth="1"/>
    <col min="20" max="20" width="4" hidden="1" customWidth="1"/>
    <col min="21" max="21" width="3.85546875" hidden="1" customWidth="1"/>
    <col min="22" max="22" width="4.7109375" hidden="1" customWidth="1"/>
    <col min="23" max="29" width="3.7109375" customWidth="1"/>
    <col min="30" max="30" width="4.7109375" customWidth="1"/>
    <col min="31" max="31" width="10.85546875" hidden="1" customWidth="1"/>
    <col min="32" max="36" width="3.7109375" hidden="1" customWidth="1"/>
    <col min="37" max="43" width="3.7109375" customWidth="1"/>
    <col min="44" max="44" width="4.7109375" customWidth="1"/>
    <col min="45" max="45" width="10.85546875" hidden="1" customWidth="1"/>
    <col min="46" max="46" width="3.5703125" hidden="1" customWidth="1"/>
    <col min="47" max="50" width="3.7109375" hidden="1" customWidth="1"/>
    <col min="51" max="57" width="3.7109375" customWidth="1"/>
    <col min="58" max="59" width="5" customWidth="1"/>
    <col min="60" max="60" width="4.7109375" customWidth="1"/>
    <col min="61" max="61" width="26.7109375" customWidth="1"/>
    <col min="62" max="62" width="7.140625" customWidth="1"/>
    <col min="63" max="63" width="5.5703125" customWidth="1"/>
    <col min="67" max="67" width="3.7109375" customWidth="1"/>
    <col min="68" max="69" width="11.42578125" hidden="1" customWidth="1"/>
  </cols>
  <sheetData>
    <row r="1" spans="1:69" ht="15.75" thickBot="1" x14ac:dyDescent="0.3">
      <c r="A1" s="67" t="s">
        <v>59</v>
      </c>
      <c r="B1" s="67"/>
      <c r="E1">
        <v>1</v>
      </c>
      <c r="F1">
        <f>DAY(EOMONTH(C3,0))</f>
        <v>31</v>
      </c>
      <c r="G1">
        <f>WEEKDAY(DATE($B$2,E1,1),2)</f>
        <v>3</v>
      </c>
      <c r="I1" s="58" t="s">
        <v>2</v>
      </c>
      <c r="J1" s="58"/>
      <c r="K1" s="58"/>
      <c r="L1" s="58"/>
      <c r="M1" s="58"/>
      <c r="N1" s="58"/>
      <c r="O1" s="58"/>
      <c r="Q1" s="1">
        <f>DATE($B$2,S1,1)</f>
        <v>43862</v>
      </c>
      <c r="S1">
        <v>2</v>
      </c>
      <c r="T1">
        <f>DAY(EOMONTH(Q1,0))</f>
        <v>29</v>
      </c>
      <c r="U1">
        <f>WEEKDAY(DATE($B$2,S1,1),2)</f>
        <v>6</v>
      </c>
      <c r="W1" s="57" t="s">
        <v>10</v>
      </c>
      <c r="X1" s="57"/>
      <c r="Y1" s="57"/>
      <c r="Z1" s="57"/>
      <c r="AA1" s="57"/>
      <c r="AB1" s="57"/>
      <c r="AC1" s="57"/>
      <c r="AE1" s="1">
        <f>DATE($B$2,AG1,1)</f>
        <v>43891</v>
      </c>
      <c r="AG1">
        <v>3</v>
      </c>
      <c r="AH1">
        <f>DAY(EOMONTH(AE1,0))</f>
        <v>31</v>
      </c>
      <c r="AI1">
        <f>WEEKDAY(DATE($B$2,AG1,1),2)</f>
        <v>7</v>
      </c>
      <c r="AK1" s="57" t="s">
        <v>11</v>
      </c>
      <c r="AL1" s="57"/>
      <c r="AM1" s="57"/>
      <c r="AN1" s="57"/>
      <c r="AO1" s="57"/>
      <c r="AP1" s="57"/>
      <c r="AQ1" s="57"/>
      <c r="AS1" s="1">
        <f>DATE($B$2,AU1,1)</f>
        <v>43922</v>
      </c>
      <c r="AU1">
        <v>4</v>
      </c>
      <c r="AV1">
        <f>DAY(EOMONTH(AS1,0))</f>
        <v>30</v>
      </c>
      <c r="AW1">
        <f>WEEKDAY(DATE($B$2,AU1,1),2)</f>
        <v>3</v>
      </c>
      <c r="AY1" s="58" t="s">
        <v>12</v>
      </c>
      <c r="AZ1" s="58"/>
      <c r="BA1" s="58"/>
      <c r="BB1" s="58"/>
      <c r="BC1" s="58"/>
      <c r="BD1" s="58"/>
      <c r="BE1" s="58"/>
    </row>
    <row r="2" spans="1:69" x14ac:dyDescent="0.25">
      <c r="A2" s="53" t="s">
        <v>0</v>
      </c>
      <c r="B2" s="55">
        <v>2020</v>
      </c>
      <c r="I2" s="2" t="s">
        <v>3</v>
      </c>
      <c r="J2" s="2" t="s">
        <v>4</v>
      </c>
      <c r="K2" s="2" t="s">
        <v>5</v>
      </c>
      <c r="L2" s="2" t="s">
        <v>6</v>
      </c>
      <c r="M2" s="2" t="s">
        <v>7</v>
      </c>
      <c r="N2" s="2" t="s">
        <v>8</v>
      </c>
      <c r="O2" s="2" t="s">
        <v>9</v>
      </c>
      <c r="W2" s="2" t="s">
        <v>3</v>
      </c>
      <c r="X2" s="2" t="s">
        <v>4</v>
      </c>
      <c r="Y2" s="2" t="s">
        <v>5</v>
      </c>
      <c r="Z2" s="2" t="s">
        <v>6</v>
      </c>
      <c r="AA2" s="2" t="s">
        <v>7</v>
      </c>
      <c r="AB2" s="2" t="s">
        <v>8</v>
      </c>
      <c r="AC2" s="2" t="s">
        <v>9</v>
      </c>
      <c r="AK2" s="2" t="s">
        <v>3</v>
      </c>
      <c r="AL2" s="2" t="s">
        <v>4</v>
      </c>
      <c r="AM2" s="2" t="s">
        <v>5</v>
      </c>
      <c r="AN2" s="2" t="s">
        <v>6</v>
      </c>
      <c r="AO2" s="2" t="s">
        <v>7</v>
      </c>
      <c r="AP2" s="2" t="s">
        <v>8</v>
      </c>
      <c r="AQ2" s="2" t="s">
        <v>9</v>
      </c>
      <c r="AY2" s="2" t="s">
        <v>3</v>
      </c>
      <c r="AZ2" s="2" t="s">
        <v>4</v>
      </c>
      <c r="BA2" s="2" t="s">
        <v>5</v>
      </c>
      <c r="BB2" s="2" t="s">
        <v>6</v>
      </c>
      <c r="BC2" s="2" t="s">
        <v>7</v>
      </c>
      <c r="BD2" s="2" t="s">
        <v>8</v>
      </c>
      <c r="BE2" s="2" t="s">
        <v>9</v>
      </c>
      <c r="BG2" s="8"/>
      <c r="BH2" s="9"/>
      <c r="BI2" s="66"/>
      <c r="BJ2" s="66"/>
      <c r="BK2" s="10"/>
    </row>
    <row r="3" spans="1:69" ht="16.5" thickBot="1" x14ac:dyDescent="0.35">
      <c r="A3" s="53" t="s">
        <v>1</v>
      </c>
      <c r="B3" s="54" t="str">
        <f>IF(OR(MOD(B2,400)=0, AND(MOD(B2,4)=0, MOD(B2,100)&lt;&gt;0)), "SI", "NO")</f>
        <v>SI</v>
      </c>
      <c r="C3" s="1">
        <f>DATE($B$2,E1,1)</f>
        <v>43831</v>
      </c>
      <c r="I3" s="3" t="str">
        <f>IF($G$1=1,1,"")</f>
        <v/>
      </c>
      <c r="J3" s="3" t="str">
        <f>IF(NOT(I3=""),I3+1,IF($G$1=2,1,""))</f>
        <v/>
      </c>
      <c r="K3" s="3">
        <f>IF(NOT(J3=""),J3+1,IF($G$1=3,1,""))</f>
        <v>1</v>
      </c>
      <c r="L3" s="3">
        <f>IF(NOT(K3=""),K3+1,IF($G$1=4,1,""))</f>
        <v>2</v>
      </c>
      <c r="M3" s="3">
        <f>IF(NOT(L3=""),L3+1,IF($G$1=5,1,""))</f>
        <v>3</v>
      </c>
      <c r="N3" s="25">
        <f>IF(NOT(M3=""),M3+1,IF($G$1=6,1,""))</f>
        <v>4</v>
      </c>
      <c r="O3" s="25">
        <f>IF(NOT(N3=""),N3+1,IF($G$1=7,1,""))</f>
        <v>5</v>
      </c>
      <c r="W3" s="3" t="str">
        <f>IF($U$1=1,1,"")</f>
        <v/>
      </c>
      <c r="X3" s="3" t="str">
        <f>IF(NOT(W3=""),W3+1,IF($U$1=2,1,""))</f>
        <v/>
      </c>
      <c r="Y3" s="3" t="str">
        <f>IF(NOT(X3=""),X3+1,IF($U$1=3,1,""))</f>
        <v/>
      </c>
      <c r="Z3" s="3" t="str">
        <f>IF(NOT(Y3=""),Y3+1,IF($U$1=4,1,""))</f>
        <v/>
      </c>
      <c r="AA3" s="3" t="str">
        <f>IF(NOT(Z3=""),Z3+1,IF($U$1=5,1,""))</f>
        <v/>
      </c>
      <c r="AB3" s="25">
        <f>IF(NOT(AA3=""),AA3+1,IF($U$1=6,1,""))</f>
        <v>1</v>
      </c>
      <c r="AC3" s="25">
        <f>IF(NOT(AB3=""),AB3+1,IF($U$1=7,1,""))</f>
        <v>2</v>
      </c>
      <c r="AK3" s="3" t="str">
        <f>IF($AI$1=1,1,"")</f>
        <v/>
      </c>
      <c r="AL3" s="3" t="str">
        <f>IF(NOT(AK3=""),AK3+1,IF($AI$1=2,1,""))</f>
        <v/>
      </c>
      <c r="AM3" s="3" t="str">
        <f>IF(NOT(AL3=""),AL3+1,IF($AI$1=3,1,""))</f>
        <v/>
      </c>
      <c r="AN3" s="3" t="str">
        <f>IF(NOT(AM3=""),AM3+1,IF($AI$1=4,1,""))</f>
        <v/>
      </c>
      <c r="AO3" s="3" t="str">
        <f>IF(NOT(AN3=""),AN3+1,IF($AI$1=5,1,""))</f>
        <v/>
      </c>
      <c r="AP3" s="25" t="str">
        <f>IF(NOT(AO3=""),AO3+1,IF($AI$1=6,1,""))</f>
        <v/>
      </c>
      <c r="AQ3" s="25">
        <f>IF(NOT(AP3=""),AP3+1,IF($AI$1=7,1,""))</f>
        <v>1</v>
      </c>
      <c r="AY3" s="3" t="str">
        <f>IF($AW$1=1,1,"")</f>
        <v/>
      </c>
      <c r="AZ3" s="3" t="str">
        <f>IF(NOT(AY3=""),AY3+1,IF($AW$1=2,1,""))</f>
        <v/>
      </c>
      <c r="BA3" s="3">
        <f>IF(NOT(AZ3=""),AZ3+1,IF($AW$1=3,1,""))</f>
        <v>1</v>
      </c>
      <c r="BB3" s="3">
        <f>IF(NOT(BA3=""),BA3+1,IF($AW$1=4,1,""))</f>
        <v>2</v>
      </c>
      <c r="BC3" s="3">
        <f>IF(NOT(BB3=""),BB3+1,IF($AW$1=5,1,""))</f>
        <v>3</v>
      </c>
      <c r="BD3" s="25">
        <f>IF(NOT(BC3=""),BC3+1,IF($AW$1=6,1,""))</f>
        <v>4</v>
      </c>
      <c r="BE3" s="25">
        <f>IF(NOT(BD3=""),BD3+1,IF($AW$1=7,1,""))</f>
        <v>5</v>
      </c>
      <c r="BG3" s="15"/>
      <c r="BH3" s="16"/>
      <c r="BI3" s="60" t="s">
        <v>30</v>
      </c>
      <c r="BJ3" s="60"/>
      <c r="BK3" s="17"/>
      <c r="BL3" s="6"/>
      <c r="BM3" s="6"/>
      <c r="BN3" s="6"/>
      <c r="BO3" s="6"/>
      <c r="BP3" s="6"/>
      <c r="BQ3" s="6"/>
    </row>
    <row r="4" spans="1:69" ht="15.75" x14ac:dyDescent="0.3">
      <c r="I4" s="3">
        <f>IF(AND(O3&gt;0,O3&lt;$F$1),O3+1,"")</f>
        <v>6</v>
      </c>
      <c r="J4" s="3">
        <f t="shared" ref="J4:O4" si="0">IF(AND(I4&gt;0,I4&lt;$F$1),I4+1,"")</f>
        <v>7</v>
      </c>
      <c r="K4" s="3">
        <f t="shared" si="0"/>
        <v>8</v>
      </c>
      <c r="L4" s="3">
        <f t="shared" si="0"/>
        <v>9</v>
      </c>
      <c r="M4" s="3">
        <f t="shared" si="0"/>
        <v>10</v>
      </c>
      <c r="N4" s="25">
        <f t="shared" si="0"/>
        <v>11</v>
      </c>
      <c r="O4" s="25">
        <f t="shared" si="0"/>
        <v>12</v>
      </c>
      <c r="W4" s="3">
        <f>IF(AND(AC3&gt;0,AC3&lt;$T$1),AC3+1,"")</f>
        <v>3</v>
      </c>
      <c r="X4" s="3">
        <f t="shared" ref="X4:AC8" si="1">IF(AND(W4&gt;0,W4&lt;$T$1),W4+1,"")</f>
        <v>4</v>
      </c>
      <c r="Y4" s="3">
        <f t="shared" si="1"/>
        <v>5</v>
      </c>
      <c r="Z4" s="3">
        <f t="shared" si="1"/>
        <v>6</v>
      </c>
      <c r="AA4" s="3">
        <f t="shared" si="1"/>
        <v>7</v>
      </c>
      <c r="AB4" s="25">
        <f t="shared" si="1"/>
        <v>8</v>
      </c>
      <c r="AC4" s="25">
        <f t="shared" si="1"/>
        <v>9</v>
      </c>
      <c r="AK4" s="3">
        <f>IF(AND(AQ3&gt;0,AQ3&lt;$AH$1),AQ3+1,"")</f>
        <v>2</v>
      </c>
      <c r="AL4" s="3">
        <f t="shared" ref="AL4:AQ8" si="2">IF(AND(AK4&gt;0,AK4&lt;$AH$1),AK4+1,"")</f>
        <v>3</v>
      </c>
      <c r="AM4" s="3">
        <f t="shared" si="2"/>
        <v>4</v>
      </c>
      <c r="AN4" s="3">
        <f t="shared" si="2"/>
        <v>5</v>
      </c>
      <c r="AO4" s="3">
        <f t="shared" si="2"/>
        <v>6</v>
      </c>
      <c r="AP4" s="25">
        <f t="shared" si="2"/>
        <v>7</v>
      </c>
      <c r="AQ4" s="25">
        <f t="shared" si="2"/>
        <v>8</v>
      </c>
      <c r="AY4" s="3">
        <f>IF(AND(BE3&gt;0,BE3&lt;$AV$1),BE3+1,"")</f>
        <v>6</v>
      </c>
      <c r="AZ4" s="3">
        <f t="shared" ref="AZ4:BE8" si="3">IF(AND(AY4&gt;0,AY4&lt;$AV$1),AY4+1,"")</f>
        <v>7</v>
      </c>
      <c r="BA4" s="3">
        <f t="shared" si="3"/>
        <v>8</v>
      </c>
      <c r="BB4" s="3">
        <f t="shared" si="3"/>
        <v>9</v>
      </c>
      <c r="BC4" s="3">
        <f t="shared" si="3"/>
        <v>10</v>
      </c>
      <c r="BD4" s="25">
        <f t="shared" si="3"/>
        <v>11</v>
      </c>
      <c r="BE4" s="25">
        <f t="shared" si="3"/>
        <v>12</v>
      </c>
      <c r="BG4" s="11"/>
      <c r="BH4" s="12"/>
      <c r="BI4" s="18"/>
      <c r="BJ4" s="18"/>
      <c r="BK4" s="14"/>
      <c r="BL4" s="6"/>
      <c r="BM4" s="6"/>
      <c r="BN4" s="6"/>
      <c r="BO4" s="6"/>
      <c r="BP4" s="6"/>
      <c r="BQ4" s="6"/>
    </row>
    <row r="5" spans="1:69" ht="15.75" x14ac:dyDescent="0.3">
      <c r="I5" s="3">
        <f>IF(AND(O4&gt;0,O4&lt;$F$1),O4+1,"")</f>
        <v>13</v>
      </c>
      <c r="J5" s="3">
        <f t="shared" ref="J5:O5" si="4">IF(AND(I5&gt;0,I5&lt;$F$1),I5+1,"")</f>
        <v>14</v>
      </c>
      <c r="K5" s="3">
        <f t="shared" si="4"/>
        <v>15</v>
      </c>
      <c r="L5" s="3">
        <f t="shared" si="4"/>
        <v>16</v>
      </c>
      <c r="M5" s="3">
        <f t="shared" si="4"/>
        <v>17</v>
      </c>
      <c r="N5" s="25">
        <f t="shared" si="4"/>
        <v>18</v>
      </c>
      <c r="O5" s="25">
        <f t="shared" si="4"/>
        <v>19</v>
      </c>
      <c r="W5" s="3">
        <f>IF(AND(AC4&gt;0,AC4&lt;$T$1),AC4+1,"")</f>
        <v>10</v>
      </c>
      <c r="X5" s="3">
        <f t="shared" si="1"/>
        <v>11</v>
      </c>
      <c r="Y5" s="3">
        <f t="shared" si="1"/>
        <v>12</v>
      </c>
      <c r="Z5" s="3">
        <f t="shared" si="1"/>
        <v>13</v>
      </c>
      <c r="AA5" s="3">
        <f t="shared" si="1"/>
        <v>14</v>
      </c>
      <c r="AB5" s="25">
        <f t="shared" si="1"/>
        <v>15</v>
      </c>
      <c r="AC5" s="25">
        <f t="shared" si="1"/>
        <v>16</v>
      </c>
      <c r="AK5" s="3">
        <f>IF(AND(AQ4&gt;0,AQ4&lt;$AH$1),AQ4+1,"")</f>
        <v>9</v>
      </c>
      <c r="AL5" s="3">
        <f t="shared" si="2"/>
        <v>10</v>
      </c>
      <c r="AM5" s="3">
        <f t="shared" si="2"/>
        <v>11</v>
      </c>
      <c r="AN5" s="3">
        <f t="shared" si="2"/>
        <v>12</v>
      </c>
      <c r="AO5" s="3">
        <f t="shared" si="2"/>
        <v>13</v>
      </c>
      <c r="AP5" s="25">
        <f t="shared" si="2"/>
        <v>14</v>
      </c>
      <c r="AQ5" s="25">
        <f t="shared" si="2"/>
        <v>15</v>
      </c>
      <c r="AY5" s="3">
        <f>IF(AND(BE4&gt;0,BE4&lt;$AV$1),BE4+1,"")</f>
        <v>13</v>
      </c>
      <c r="AZ5" s="3">
        <f t="shared" si="3"/>
        <v>14</v>
      </c>
      <c r="BA5" s="3">
        <f t="shared" si="3"/>
        <v>15</v>
      </c>
      <c r="BB5" s="3">
        <f t="shared" si="3"/>
        <v>16</v>
      </c>
      <c r="BC5" s="3">
        <f t="shared" si="3"/>
        <v>17</v>
      </c>
      <c r="BD5" s="25">
        <f t="shared" si="3"/>
        <v>18</v>
      </c>
      <c r="BE5" s="25">
        <f t="shared" si="3"/>
        <v>19</v>
      </c>
      <c r="BG5" s="11"/>
      <c r="BH5" s="42"/>
      <c r="BI5" s="7" t="s">
        <v>23</v>
      </c>
      <c r="BJ5" s="7"/>
      <c r="BK5" s="14"/>
      <c r="BL5" s="6"/>
      <c r="BM5" s="6"/>
      <c r="BN5" s="6"/>
      <c r="BO5" s="6"/>
      <c r="BP5" s="6"/>
      <c r="BQ5" s="6"/>
    </row>
    <row r="6" spans="1:69" ht="15.75" x14ac:dyDescent="0.3">
      <c r="I6" s="3">
        <f>IF(AND(O5&gt;0,O5&lt;$F$1),O5+1,"")</f>
        <v>20</v>
      </c>
      <c r="J6" s="3">
        <f t="shared" ref="J6:O6" si="5">IF(AND(I6&gt;0,I6&lt;$F$1),I6+1,"")</f>
        <v>21</v>
      </c>
      <c r="K6" s="3">
        <f t="shared" si="5"/>
        <v>22</v>
      </c>
      <c r="L6" s="3">
        <f t="shared" si="5"/>
        <v>23</v>
      </c>
      <c r="M6" s="3">
        <f t="shared" si="5"/>
        <v>24</v>
      </c>
      <c r="N6" s="25">
        <f t="shared" si="5"/>
        <v>25</v>
      </c>
      <c r="O6" s="25">
        <f t="shared" si="5"/>
        <v>26</v>
      </c>
      <c r="W6" s="3">
        <f>IF(AND(AC5&gt;0,AC5&lt;$T$1),AC5+1,"")</f>
        <v>17</v>
      </c>
      <c r="X6" s="3">
        <f t="shared" si="1"/>
        <v>18</v>
      </c>
      <c r="Y6" s="3">
        <f t="shared" si="1"/>
        <v>19</v>
      </c>
      <c r="Z6" s="3">
        <f t="shared" si="1"/>
        <v>20</v>
      </c>
      <c r="AA6" s="3">
        <f t="shared" si="1"/>
        <v>21</v>
      </c>
      <c r="AB6" s="25">
        <f t="shared" si="1"/>
        <v>22</v>
      </c>
      <c r="AC6" s="25">
        <f t="shared" si="1"/>
        <v>23</v>
      </c>
      <c r="AK6" s="3">
        <f>IF(AND(AQ5&gt;0,AQ5&lt;$AH$1),AQ5+1,"")</f>
        <v>16</v>
      </c>
      <c r="AL6" s="3">
        <f t="shared" si="2"/>
        <v>17</v>
      </c>
      <c r="AM6" s="3">
        <f t="shared" si="2"/>
        <v>18</v>
      </c>
      <c r="AN6" s="3">
        <f t="shared" si="2"/>
        <v>19</v>
      </c>
      <c r="AO6" s="3">
        <f t="shared" si="2"/>
        <v>20</v>
      </c>
      <c r="AP6" s="25">
        <f t="shared" si="2"/>
        <v>21</v>
      </c>
      <c r="AQ6" s="25">
        <f t="shared" si="2"/>
        <v>22</v>
      </c>
      <c r="AY6" s="3">
        <f>IF(AND(BE5&gt;0,BE5&lt;$AV$1),BE5+1,"")</f>
        <v>20</v>
      </c>
      <c r="AZ6" s="3">
        <f t="shared" si="3"/>
        <v>21</v>
      </c>
      <c r="BA6" s="3">
        <f t="shared" si="3"/>
        <v>22</v>
      </c>
      <c r="BB6" s="3">
        <f t="shared" si="3"/>
        <v>23</v>
      </c>
      <c r="BC6" s="3">
        <f t="shared" si="3"/>
        <v>24</v>
      </c>
      <c r="BD6" s="25">
        <f t="shared" si="3"/>
        <v>25</v>
      </c>
      <c r="BE6" s="25">
        <f t="shared" si="3"/>
        <v>26</v>
      </c>
      <c r="BG6" s="11"/>
      <c r="BH6" s="50"/>
      <c r="BI6" s="7" t="s">
        <v>24</v>
      </c>
      <c r="BJ6" s="7"/>
      <c r="BK6" s="14"/>
      <c r="BL6" s="6"/>
      <c r="BM6" s="6"/>
      <c r="BN6" s="6"/>
      <c r="BO6" s="6"/>
      <c r="BP6" s="6"/>
      <c r="BQ6" s="6"/>
    </row>
    <row r="7" spans="1:69" ht="15.75" x14ac:dyDescent="0.3">
      <c r="I7" s="3">
        <f>IF(AND(O6&gt;0,O6&lt;$F$1),O6+1,"")</f>
        <v>27</v>
      </c>
      <c r="J7" s="3">
        <f t="shared" ref="J7:O7" si="6">IF(AND(I7&gt;0,I7&lt;$F$1),I7+1,"")</f>
        <v>28</v>
      </c>
      <c r="K7" s="3">
        <f t="shared" si="6"/>
        <v>29</v>
      </c>
      <c r="L7" s="3">
        <f t="shared" si="6"/>
        <v>30</v>
      </c>
      <c r="M7" s="3">
        <f t="shared" si="6"/>
        <v>31</v>
      </c>
      <c r="N7" s="25" t="str">
        <f t="shared" si="6"/>
        <v/>
      </c>
      <c r="O7" s="25" t="str">
        <f t="shared" si="6"/>
        <v/>
      </c>
      <c r="W7" s="3">
        <f>IF(AND(AC6&gt;0,AC6&lt;$T$1),AC6+1,"")</f>
        <v>24</v>
      </c>
      <c r="X7" s="3">
        <f t="shared" si="1"/>
        <v>25</v>
      </c>
      <c r="Y7" s="3">
        <f t="shared" si="1"/>
        <v>26</v>
      </c>
      <c r="Z7" s="3">
        <f t="shared" si="1"/>
        <v>27</v>
      </c>
      <c r="AA7" s="3">
        <f t="shared" si="1"/>
        <v>28</v>
      </c>
      <c r="AB7" s="25">
        <f t="shared" si="1"/>
        <v>29</v>
      </c>
      <c r="AC7" s="25" t="str">
        <f t="shared" si="1"/>
        <v/>
      </c>
      <c r="AK7" s="3">
        <f>IF(AND(AQ6&gt;0,AQ6&lt;$AH$1),AQ6+1,"")</f>
        <v>23</v>
      </c>
      <c r="AL7" s="3">
        <f t="shared" si="2"/>
        <v>24</v>
      </c>
      <c r="AM7" s="3">
        <f t="shared" si="2"/>
        <v>25</v>
      </c>
      <c r="AN7" s="3">
        <f t="shared" si="2"/>
        <v>26</v>
      </c>
      <c r="AO7" s="3">
        <f t="shared" si="2"/>
        <v>27</v>
      </c>
      <c r="AP7" s="25">
        <f t="shared" si="2"/>
        <v>28</v>
      </c>
      <c r="AQ7" s="25">
        <f t="shared" si="2"/>
        <v>29</v>
      </c>
      <c r="AY7" s="3">
        <f>IF(AND(BE6&gt;0,BE6&lt;$AV$1),BE6+1,"")</f>
        <v>27</v>
      </c>
      <c r="AZ7" s="3">
        <f t="shared" si="3"/>
        <v>28</v>
      </c>
      <c r="BA7" s="3">
        <f t="shared" si="3"/>
        <v>29</v>
      </c>
      <c r="BB7" s="3">
        <f t="shared" si="3"/>
        <v>30</v>
      </c>
      <c r="BC7" s="3" t="str">
        <f t="shared" si="3"/>
        <v/>
      </c>
      <c r="BD7" s="25" t="str">
        <f t="shared" si="3"/>
        <v/>
      </c>
      <c r="BE7" s="25" t="str">
        <f t="shared" si="3"/>
        <v/>
      </c>
      <c r="BG7" s="11"/>
      <c r="BH7" s="51"/>
      <c r="BI7" s="7" t="s">
        <v>25</v>
      </c>
      <c r="BJ7" s="7"/>
      <c r="BK7" s="14"/>
      <c r="BL7" s="6"/>
      <c r="BM7" s="6"/>
      <c r="BN7" s="6"/>
      <c r="BO7" s="6"/>
      <c r="BP7" s="6"/>
      <c r="BQ7" s="6"/>
    </row>
    <row r="8" spans="1:69" ht="15.75" x14ac:dyDescent="0.3">
      <c r="I8" s="3" t="str">
        <f>IF(AND(O7&gt;0,O7&lt;$F$1),O7+1,"")</f>
        <v/>
      </c>
      <c r="J8" s="3" t="str">
        <f t="shared" ref="J8:O8" si="7">IF(AND(I8&gt;0,I8&lt;$F$1),I8+1,"")</f>
        <v/>
      </c>
      <c r="K8" s="3" t="str">
        <f t="shared" si="7"/>
        <v/>
      </c>
      <c r="L8" s="3" t="str">
        <f t="shared" si="7"/>
        <v/>
      </c>
      <c r="M8" s="3" t="str">
        <f t="shared" si="7"/>
        <v/>
      </c>
      <c r="N8" s="25" t="str">
        <f t="shared" si="7"/>
        <v/>
      </c>
      <c r="O8" s="25" t="str">
        <f t="shared" si="7"/>
        <v/>
      </c>
      <c r="W8" s="3" t="str">
        <f>IF(AND(AC7&gt;0,AC7&lt;$T$1),AC7+1,"")</f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25" t="str">
        <f t="shared" si="1"/>
        <v/>
      </c>
      <c r="AC8" s="25" t="str">
        <f t="shared" si="1"/>
        <v/>
      </c>
      <c r="AK8" s="3">
        <f>IF(AND(AQ7&gt;0,AQ7&lt;$AH$1),AQ7+1,"")</f>
        <v>30</v>
      </c>
      <c r="AL8" s="3">
        <f t="shared" si="2"/>
        <v>31</v>
      </c>
      <c r="AM8" s="3" t="str">
        <f t="shared" si="2"/>
        <v/>
      </c>
      <c r="AN8" s="3" t="str">
        <f t="shared" si="2"/>
        <v/>
      </c>
      <c r="AO8" s="3" t="str">
        <f t="shared" si="2"/>
        <v/>
      </c>
      <c r="AP8" s="25" t="str">
        <f t="shared" si="2"/>
        <v/>
      </c>
      <c r="AQ8" s="25" t="str">
        <f t="shared" si="2"/>
        <v/>
      </c>
      <c r="AY8" s="3" t="str">
        <f>IF(AND(BE7&gt;0,BE7&lt;$AV$1),BE7+1,"")</f>
        <v/>
      </c>
      <c r="AZ8" s="3" t="str">
        <f t="shared" si="3"/>
        <v/>
      </c>
      <c r="BA8" s="3" t="str">
        <f t="shared" si="3"/>
        <v/>
      </c>
      <c r="BB8" s="3" t="str">
        <f t="shared" si="3"/>
        <v/>
      </c>
      <c r="BC8" s="3" t="str">
        <f t="shared" si="3"/>
        <v/>
      </c>
      <c r="BD8" s="25" t="str">
        <f t="shared" si="3"/>
        <v/>
      </c>
      <c r="BE8" s="25" t="str">
        <f t="shared" si="3"/>
        <v/>
      </c>
      <c r="BG8" s="11"/>
      <c r="BH8" s="52"/>
      <c r="BI8" s="7" t="s">
        <v>26</v>
      </c>
      <c r="BJ8" s="7"/>
      <c r="BK8" s="14"/>
      <c r="BL8" s="6"/>
      <c r="BM8" s="6"/>
      <c r="BN8" s="6"/>
      <c r="BO8" s="6"/>
      <c r="BP8" s="6"/>
      <c r="BQ8" s="6"/>
    </row>
    <row r="9" spans="1:69" ht="15.75" x14ac:dyDescent="0.3">
      <c r="A9" s="4"/>
      <c r="B9" s="4"/>
      <c r="C9" s="4"/>
      <c r="D9" s="4"/>
      <c r="E9" s="4"/>
      <c r="F9" s="4"/>
      <c r="G9" s="4"/>
      <c r="H9" s="4"/>
      <c r="I9" s="5"/>
      <c r="J9" s="5"/>
      <c r="K9" s="5"/>
      <c r="L9" s="5"/>
      <c r="M9" s="5"/>
      <c r="N9" s="5"/>
      <c r="O9" s="5"/>
      <c r="P9" s="4"/>
      <c r="AD9" s="4"/>
      <c r="AR9" s="4"/>
      <c r="BG9" s="11"/>
      <c r="BH9" s="43"/>
      <c r="BI9" s="7" t="s">
        <v>27</v>
      </c>
      <c r="BJ9" s="7"/>
      <c r="BK9" s="14"/>
      <c r="BL9" s="6"/>
      <c r="BM9" s="6"/>
      <c r="BN9" s="6"/>
      <c r="BO9" s="6"/>
      <c r="BP9" s="6"/>
      <c r="BQ9" s="6"/>
    </row>
    <row r="10" spans="1:69" ht="15.75" x14ac:dyDescent="0.3">
      <c r="C10" s="1">
        <f>DATE($B$2,E10,1)</f>
        <v>43952</v>
      </c>
      <c r="E10">
        <v>5</v>
      </c>
      <c r="F10">
        <f>DAY(EOMONTH(C10,0))</f>
        <v>31</v>
      </c>
      <c r="G10">
        <f>WEEKDAY(DATE($B$2,E10,1),2)</f>
        <v>5</v>
      </c>
      <c r="I10" s="57" t="s">
        <v>13</v>
      </c>
      <c r="J10" s="57"/>
      <c r="K10" s="57"/>
      <c r="L10" s="57"/>
      <c r="M10" s="57"/>
      <c r="N10" s="57"/>
      <c r="O10" s="57"/>
      <c r="Q10" s="1">
        <f>DATE($B$2,S10,1)</f>
        <v>43983</v>
      </c>
      <c r="S10">
        <v>6</v>
      </c>
      <c r="T10">
        <f>DAY(EOMONTH(Q10,0))</f>
        <v>30</v>
      </c>
      <c r="U10">
        <f>WEEKDAY(DATE($B$2,S10,1),2)</f>
        <v>1</v>
      </c>
      <c r="W10" s="57" t="s">
        <v>14</v>
      </c>
      <c r="X10" s="57"/>
      <c r="Y10" s="57"/>
      <c r="Z10" s="57"/>
      <c r="AA10" s="57"/>
      <c r="AB10" s="57"/>
      <c r="AC10" s="57"/>
      <c r="AE10" s="1">
        <f>DATE($B$2,AG10,1)</f>
        <v>44013</v>
      </c>
      <c r="AG10">
        <v>7</v>
      </c>
      <c r="AH10">
        <f>DAY(EOMONTH(AE10,0))</f>
        <v>31</v>
      </c>
      <c r="AI10">
        <f>WEEKDAY(DATE($B$2,AG10,1),2)</f>
        <v>3</v>
      </c>
      <c r="AK10" s="57" t="s">
        <v>15</v>
      </c>
      <c r="AL10" s="57"/>
      <c r="AM10" s="57"/>
      <c r="AN10" s="57"/>
      <c r="AO10" s="57"/>
      <c r="AP10" s="57"/>
      <c r="AQ10" s="57"/>
      <c r="AS10" s="1">
        <f>DATE($B$2,AU10,1)</f>
        <v>44044</v>
      </c>
      <c r="AU10">
        <v>8</v>
      </c>
      <c r="AV10">
        <f>DAY(EOMONTH(AS10,0))</f>
        <v>31</v>
      </c>
      <c r="AW10">
        <f>WEEKDAY(DATE($B$2,AU10,1),2)</f>
        <v>6</v>
      </c>
      <c r="AY10" s="57" t="s">
        <v>16</v>
      </c>
      <c r="AZ10" s="57"/>
      <c r="BA10" s="57"/>
      <c r="BB10" s="57"/>
      <c r="BC10" s="57"/>
      <c r="BD10" s="57"/>
      <c r="BE10" s="57"/>
      <c r="BG10" s="11"/>
      <c r="BH10" s="44"/>
      <c r="BI10" s="7" t="s">
        <v>28</v>
      </c>
      <c r="BJ10" s="7"/>
      <c r="BK10" s="14"/>
      <c r="BL10" s="6"/>
      <c r="BN10" s="6"/>
      <c r="BO10" s="6"/>
      <c r="BP10" s="6"/>
      <c r="BQ10" s="6"/>
    </row>
    <row r="11" spans="1:69" ht="15.75" x14ac:dyDescent="0.3">
      <c r="I11" s="2" t="s">
        <v>3</v>
      </c>
      <c r="J11" s="2" t="s">
        <v>4</v>
      </c>
      <c r="K11" s="2" t="s">
        <v>5</v>
      </c>
      <c r="L11" s="2" t="s">
        <v>6</v>
      </c>
      <c r="M11" s="2" t="s">
        <v>7</v>
      </c>
      <c r="N11" s="2" t="s">
        <v>8</v>
      </c>
      <c r="O11" s="2" t="s">
        <v>9</v>
      </c>
      <c r="W11" s="2" t="s">
        <v>3</v>
      </c>
      <c r="X11" s="2" t="s">
        <v>4</v>
      </c>
      <c r="Y11" s="2" t="s">
        <v>5</v>
      </c>
      <c r="Z11" s="2" t="s">
        <v>6</v>
      </c>
      <c r="AA11" s="2" t="s">
        <v>7</v>
      </c>
      <c r="AB11" s="2" t="s">
        <v>8</v>
      </c>
      <c r="AC11" s="2" t="s">
        <v>9</v>
      </c>
      <c r="AK11" s="2" t="s">
        <v>3</v>
      </c>
      <c r="AL11" s="2" t="s">
        <v>4</v>
      </c>
      <c r="AM11" s="2" t="s">
        <v>5</v>
      </c>
      <c r="AN11" s="2" t="s">
        <v>6</v>
      </c>
      <c r="AO11" s="2" t="s">
        <v>7</v>
      </c>
      <c r="AP11" s="2" t="s">
        <v>8</v>
      </c>
      <c r="AQ11" s="2" t="s">
        <v>9</v>
      </c>
      <c r="AY11" s="2" t="s">
        <v>3</v>
      </c>
      <c r="AZ11" s="2" t="s">
        <v>4</v>
      </c>
      <c r="BA11" s="2" t="s">
        <v>5</v>
      </c>
      <c r="BB11" s="2" t="s">
        <v>6</v>
      </c>
      <c r="BC11" s="2" t="s">
        <v>7</v>
      </c>
      <c r="BD11" s="2" t="s">
        <v>8</v>
      </c>
      <c r="BE11" s="2" t="s">
        <v>9</v>
      </c>
      <c r="BG11" s="11"/>
      <c r="BH11" s="45"/>
      <c r="BI11" s="32" t="s">
        <v>29</v>
      </c>
      <c r="BJ11" s="7">
        <f>B2-1</f>
        <v>2019</v>
      </c>
      <c r="BK11" s="14"/>
      <c r="BL11" s="6"/>
      <c r="BN11" s="6"/>
      <c r="BO11" s="6"/>
      <c r="BP11" s="6"/>
      <c r="BQ11" s="6"/>
    </row>
    <row r="12" spans="1:69" ht="15.75" x14ac:dyDescent="0.3">
      <c r="I12" s="3" t="str">
        <f>IF($G$10=1,1,"")</f>
        <v/>
      </c>
      <c r="J12" s="3" t="str">
        <f>IF(NOT(I12=""),I12+1,IF($G$10=2,1,""))</f>
        <v/>
      </c>
      <c r="K12" s="3" t="str">
        <f>IF(NOT(J12=""),J12+1,IF($G$10=3,1,""))</f>
        <v/>
      </c>
      <c r="L12" s="3" t="str">
        <f>IF(NOT(K12=""),K12+1,IF($G$10=4,1,""))</f>
        <v/>
      </c>
      <c r="M12" s="3">
        <f>IF(NOT(L12=""),L12+1,IF($G$10=5,1,""))</f>
        <v>1</v>
      </c>
      <c r="N12" s="25">
        <f>IF(NOT(M12=""),M12+1,IF($G$10=6,1,""))</f>
        <v>2</v>
      </c>
      <c r="O12" s="25">
        <f>IF(NOT(N12=""),N12+1,IF($G$10=7,1,""))</f>
        <v>3</v>
      </c>
      <c r="W12" s="3">
        <f>IF($U$10=1,1,"")</f>
        <v>1</v>
      </c>
      <c r="X12" s="3">
        <f>IF(NOT(W12=""),W12+1,IF($U$10=2,1,""))</f>
        <v>2</v>
      </c>
      <c r="Y12" s="3">
        <f>IF(NOT(X12=""),X12+1,IF($U$10=3,1,""))</f>
        <v>3</v>
      </c>
      <c r="Z12" s="3">
        <f>IF(NOT(Y12=""),Y12+1,IF($U$10=4,1,""))</f>
        <v>4</v>
      </c>
      <c r="AA12" s="3">
        <f>IF(NOT(Z12=""),Z12+1,IF($U$10=5,1,""))</f>
        <v>5</v>
      </c>
      <c r="AB12" s="25">
        <f>IF(NOT(AA12=""),AA12+1,IF($U$10=6,1,""))</f>
        <v>6</v>
      </c>
      <c r="AC12" s="25">
        <f>IF(NOT(AB12=""),AB12+1,IF($U$10=7,1,""))</f>
        <v>7</v>
      </c>
      <c r="AK12" s="3" t="str">
        <f>IF($AI$10=1,1,"")</f>
        <v/>
      </c>
      <c r="AL12" s="3" t="str">
        <f>IF(NOT(AK12=""),AK12+1,IF($AI$10=2,1,""))</f>
        <v/>
      </c>
      <c r="AM12" s="3">
        <f>IF(NOT(AL12=""),AL12+1,IF($AI$10=3,1,""))</f>
        <v>1</v>
      </c>
      <c r="AN12" s="3">
        <f>IF(NOT(AM12=""),AM12+1,IF($AI$10=4,1,""))</f>
        <v>2</v>
      </c>
      <c r="AO12" s="3">
        <f>IF(NOT(AN12=""),AN12+1,IF($AI$10=5,1,""))</f>
        <v>3</v>
      </c>
      <c r="AP12" s="25">
        <f>IF(NOT(AO12=""),AO12+1,IF($AI$10=6,1,""))</f>
        <v>4</v>
      </c>
      <c r="AQ12" s="25">
        <f>IF(NOT(AP12=""),AP12+1,IF($AI$10=7,1,""))</f>
        <v>5</v>
      </c>
      <c r="AY12" s="3" t="str">
        <f>IF($AW$10=1,1,"")</f>
        <v/>
      </c>
      <c r="AZ12" s="3" t="str">
        <f>IF(NOT(AY12=""),AY12+1,IF($AW$10=2,1,""))</f>
        <v/>
      </c>
      <c r="BA12" s="3" t="str">
        <f>IF(NOT(AZ12=""),AZ12+1,IF($AW$10=3,1,""))</f>
        <v/>
      </c>
      <c r="BB12" s="3" t="str">
        <f>IF(NOT(BA12=""),BA12+1,IF($AW$10=4,1,""))</f>
        <v/>
      </c>
      <c r="BC12" s="3" t="str">
        <f>IF(NOT(BB12=""),BB12+1,IF($AW$10=5,1,""))</f>
        <v/>
      </c>
      <c r="BD12" s="25">
        <f>IF(NOT(BC12=""),BC12+1,IF($AW$10=6,1,""))</f>
        <v>1</v>
      </c>
      <c r="BE12" s="25">
        <f>IF(NOT(BD12=""),BD12+1,IF($AW$10=7,1,""))</f>
        <v>2</v>
      </c>
      <c r="BG12" s="11"/>
      <c r="BH12" s="46"/>
      <c r="BI12" s="7" t="s">
        <v>22</v>
      </c>
      <c r="BJ12" s="7"/>
      <c r="BK12" s="14"/>
    </row>
    <row r="13" spans="1:69" x14ac:dyDescent="0.25">
      <c r="I13" s="3">
        <f>IF(AND(O12&gt;0,O12&lt;$F$10),O12+1,"")</f>
        <v>4</v>
      </c>
      <c r="J13" s="3">
        <f t="shared" ref="J13:O17" si="8">IF(AND(I13&gt;0,I13&lt;$F$10),I13+1,"")</f>
        <v>5</v>
      </c>
      <c r="K13" s="3">
        <f t="shared" si="8"/>
        <v>6</v>
      </c>
      <c r="L13" s="3">
        <f t="shared" si="8"/>
        <v>7</v>
      </c>
      <c r="M13" s="3">
        <f t="shared" si="8"/>
        <v>8</v>
      </c>
      <c r="N13" s="25">
        <f t="shared" si="8"/>
        <v>9</v>
      </c>
      <c r="O13" s="25">
        <f t="shared" si="8"/>
        <v>10</v>
      </c>
      <c r="W13" s="3">
        <f>IF(AND(AC12&gt;0,AC12&lt;$T$10),AC12+1,"")</f>
        <v>8</v>
      </c>
      <c r="X13" s="3">
        <f t="shared" ref="X13:AC17" si="9">IF(AND(W13&gt;0,W13&lt;$T$10),W13+1,"")</f>
        <v>9</v>
      </c>
      <c r="Y13" s="3">
        <f t="shared" si="9"/>
        <v>10</v>
      </c>
      <c r="Z13" s="3">
        <f t="shared" si="9"/>
        <v>11</v>
      </c>
      <c r="AA13" s="3">
        <f t="shared" si="9"/>
        <v>12</v>
      </c>
      <c r="AB13" s="25">
        <f t="shared" si="9"/>
        <v>13</v>
      </c>
      <c r="AC13" s="25">
        <f t="shared" si="9"/>
        <v>14</v>
      </c>
      <c r="AK13" s="3">
        <f>IF(AND(AQ12&gt;0,AQ12&lt;$AH$10),AQ12+1,"")</f>
        <v>6</v>
      </c>
      <c r="AL13" s="3">
        <f t="shared" ref="AL13:AQ17" si="10">IF(AND(AK13&gt;0,AK13&lt;$AH$10),AK13+1,"")</f>
        <v>7</v>
      </c>
      <c r="AM13" s="3">
        <f t="shared" si="10"/>
        <v>8</v>
      </c>
      <c r="AN13" s="3">
        <f t="shared" si="10"/>
        <v>9</v>
      </c>
      <c r="AO13" s="3">
        <f t="shared" si="10"/>
        <v>10</v>
      </c>
      <c r="AP13" s="25">
        <f t="shared" si="10"/>
        <v>11</v>
      </c>
      <c r="AQ13" s="25">
        <f t="shared" si="10"/>
        <v>12</v>
      </c>
      <c r="AY13" s="3">
        <f>IF(AND(BE12&gt;0,BE12&lt;$AV$10),BE12+1,"")</f>
        <v>3</v>
      </c>
      <c r="AZ13" s="3">
        <f t="shared" ref="AZ13:BE17" si="11">IF(AND(AY13&gt;0,AY13&lt;$AV$10),AY13+1,"")</f>
        <v>4</v>
      </c>
      <c r="BA13" s="3">
        <f t="shared" si="11"/>
        <v>5</v>
      </c>
      <c r="BB13" s="3">
        <f t="shared" si="11"/>
        <v>6</v>
      </c>
      <c r="BC13" s="3">
        <f t="shared" si="11"/>
        <v>7</v>
      </c>
      <c r="BD13" s="25">
        <f t="shared" si="11"/>
        <v>8</v>
      </c>
      <c r="BE13" s="25">
        <f t="shared" si="11"/>
        <v>9</v>
      </c>
      <c r="BG13" s="11"/>
      <c r="BH13" s="12"/>
      <c r="BI13" s="18"/>
      <c r="BJ13" s="18"/>
      <c r="BK13" s="13"/>
    </row>
    <row r="14" spans="1:69" ht="15.75" thickBot="1" x14ac:dyDescent="0.3">
      <c r="I14" s="3">
        <f>IF(AND(O13&gt;0,O13&lt;$F$10),O13+1,"")</f>
        <v>11</v>
      </c>
      <c r="J14" s="3">
        <f t="shared" si="8"/>
        <v>12</v>
      </c>
      <c r="K14" s="3">
        <f t="shared" si="8"/>
        <v>13</v>
      </c>
      <c r="L14" s="3">
        <f t="shared" si="8"/>
        <v>14</v>
      </c>
      <c r="M14" s="3">
        <f t="shared" si="8"/>
        <v>15</v>
      </c>
      <c r="N14" s="25">
        <f t="shared" si="8"/>
        <v>16</v>
      </c>
      <c r="O14" s="25">
        <f t="shared" si="8"/>
        <v>17</v>
      </c>
      <c r="W14" s="3">
        <f>IF(AND(AC13&gt;0,AC13&lt;$T$10),AC13+1,"")</f>
        <v>15</v>
      </c>
      <c r="X14" s="3">
        <f t="shared" si="9"/>
        <v>16</v>
      </c>
      <c r="Y14" s="3">
        <f t="shared" si="9"/>
        <v>17</v>
      </c>
      <c r="Z14" s="3">
        <f t="shared" si="9"/>
        <v>18</v>
      </c>
      <c r="AA14" s="3">
        <f t="shared" si="9"/>
        <v>19</v>
      </c>
      <c r="AB14" s="25">
        <f t="shared" si="9"/>
        <v>20</v>
      </c>
      <c r="AC14" s="25">
        <f t="shared" si="9"/>
        <v>21</v>
      </c>
      <c r="AK14" s="3">
        <f>IF(AND(AQ13&gt;0,AQ13&lt;$AH$10),AQ13+1,"")</f>
        <v>13</v>
      </c>
      <c r="AL14" s="3">
        <f t="shared" si="10"/>
        <v>14</v>
      </c>
      <c r="AM14" s="3">
        <f t="shared" si="10"/>
        <v>15</v>
      </c>
      <c r="AN14" s="3">
        <f t="shared" si="10"/>
        <v>16</v>
      </c>
      <c r="AO14" s="3">
        <f t="shared" si="10"/>
        <v>17</v>
      </c>
      <c r="AP14" s="25">
        <f t="shared" si="10"/>
        <v>18</v>
      </c>
      <c r="AQ14" s="25">
        <f t="shared" si="10"/>
        <v>19</v>
      </c>
      <c r="AY14" s="3">
        <f>IF(AND(BE13&gt;0,BE13&lt;$AV$10),BE13+1,"")</f>
        <v>10</v>
      </c>
      <c r="AZ14" s="3">
        <f t="shared" si="11"/>
        <v>11</v>
      </c>
      <c r="BA14" s="3">
        <f t="shared" si="11"/>
        <v>12</v>
      </c>
      <c r="BB14" s="3">
        <f t="shared" si="11"/>
        <v>13</v>
      </c>
      <c r="BC14" s="3">
        <f t="shared" si="11"/>
        <v>14</v>
      </c>
      <c r="BD14" s="25">
        <f t="shared" si="11"/>
        <v>15</v>
      </c>
      <c r="BE14" s="25">
        <f t="shared" si="11"/>
        <v>16</v>
      </c>
      <c r="BG14" s="15"/>
      <c r="BH14" s="16"/>
      <c r="BI14" s="19"/>
      <c r="BJ14" s="19"/>
      <c r="BK14" s="17"/>
    </row>
    <row r="15" spans="1:69" x14ac:dyDescent="0.25">
      <c r="I15" s="3">
        <f>IF(AND(O14&gt;0,O14&lt;$F$10),O14+1,"")</f>
        <v>18</v>
      </c>
      <c r="J15" s="3">
        <f t="shared" si="8"/>
        <v>19</v>
      </c>
      <c r="K15" s="3">
        <f t="shared" si="8"/>
        <v>20</v>
      </c>
      <c r="L15" s="3">
        <f t="shared" si="8"/>
        <v>21</v>
      </c>
      <c r="M15" s="3">
        <f t="shared" si="8"/>
        <v>22</v>
      </c>
      <c r="N15" s="25">
        <f t="shared" si="8"/>
        <v>23</v>
      </c>
      <c r="O15" s="25">
        <f t="shared" si="8"/>
        <v>24</v>
      </c>
      <c r="W15" s="3">
        <f>IF(AND(AC14&gt;0,AC14&lt;$T$10),AC14+1,"")</f>
        <v>22</v>
      </c>
      <c r="X15" s="3">
        <f t="shared" si="9"/>
        <v>23</v>
      </c>
      <c r="Y15" s="3">
        <f t="shared" si="9"/>
        <v>24</v>
      </c>
      <c r="Z15" s="3">
        <f t="shared" si="9"/>
        <v>25</v>
      </c>
      <c r="AA15" s="3">
        <f t="shared" si="9"/>
        <v>26</v>
      </c>
      <c r="AB15" s="25">
        <f t="shared" si="9"/>
        <v>27</v>
      </c>
      <c r="AC15" s="25">
        <f t="shared" si="9"/>
        <v>28</v>
      </c>
      <c r="AK15" s="3">
        <f>IF(AND(AQ14&gt;0,AQ14&lt;$AH$10),AQ14+1,"")</f>
        <v>20</v>
      </c>
      <c r="AL15" s="3">
        <f t="shared" si="10"/>
        <v>21</v>
      </c>
      <c r="AM15" s="3">
        <f t="shared" si="10"/>
        <v>22</v>
      </c>
      <c r="AN15" s="3">
        <f t="shared" si="10"/>
        <v>23</v>
      </c>
      <c r="AO15" s="3">
        <f t="shared" si="10"/>
        <v>24</v>
      </c>
      <c r="AP15" s="25">
        <f t="shared" si="10"/>
        <v>25</v>
      </c>
      <c r="AQ15" s="25">
        <f t="shared" si="10"/>
        <v>26</v>
      </c>
      <c r="AY15" s="3">
        <f>IF(AND(BE14&gt;0,BE14&lt;$AV$10),BE14+1,"")</f>
        <v>17</v>
      </c>
      <c r="AZ15" s="3">
        <f t="shared" si="11"/>
        <v>18</v>
      </c>
      <c r="BA15" s="3">
        <f t="shared" si="11"/>
        <v>19</v>
      </c>
      <c r="BB15" s="3">
        <f t="shared" si="11"/>
        <v>20</v>
      </c>
      <c r="BC15" s="3">
        <f t="shared" si="11"/>
        <v>21</v>
      </c>
      <c r="BD15" s="25">
        <f t="shared" si="11"/>
        <v>22</v>
      </c>
      <c r="BE15" s="25">
        <f t="shared" si="11"/>
        <v>23</v>
      </c>
    </row>
    <row r="16" spans="1:69" ht="15.75" thickBot="1" x14ac:dyDescent="0.3">
      <c r="I16" s="3">
        <f>IF(AND(O15&gt;0,O15&lt;$F$10),O15+1,"")</f>
        <v>25</v>
      </c>
      <c r="J16" s="3">
        <f t="shared" si="8"/>
        <v>26</v>
      </c>
      <c r="K16" s="3">
        <f t="shared" si="8"/>
        <v>27</v>
      </c>
      <c r="L16" s="3">
        <f t="shared" si="8"/>
        <v>28</v>
      </c>
      <c r="M16" s="3">
        <f t="shared" si="8"/>
        <v>29</v>
      </c>
      <c r="N16" s="25">
        <f t="shared" si="8"/>
        <v>30</v>
      </c>
      <c r="O16" s="25">
        <f t="shared" si="8"/>
        <v>31</v>
      </c>
      <c r="W16" s="3">
        <f>IF(AND(AC15&gt;0,AC15&lt;$T$10),AC15+1,"")</f>
        <v>29</v>
      </c>
      <c r="X16" s="3">
        <f t="shared" si="9"/>
        <v>30</v>
      </c>
      <c r="Y16" s="3" t="str">
        <f t="shared" si="9"/>
        <v/>
      </c>
      <c r="Z16" s="3" t="str">
        <f t="shared" si="9"/>
        <v/>
      </c>
      <c r="AA16" s="3" t="str">
        <f t="shared" si="9"/>
        <v/>
      </c>
      <c r="AB16" s="25" t="str">
        <f t="shared" si="9"/>
        <v/>
      </c>
      <c r="AC16" s="25" t="str">
        <f t="shared" si="9"/>
        <v/>
      </c>
      <c r="AK16" s="3">
        <f>IF(AND(AQ15&gt;0,AQ15&lt;$AH$10),AQ15+1,"")</f>
        <v>27</v>
      </c>
      <c r="AL16" s="3">
        <f t="shared" si="10"/>
        <v>28</v>
      </c>
      <c r="AM16" s="3">
        <f t="shared" si="10"/>
        <v>29</v>
      </c>
      <c r="AN16" s="3">
        <f t="shared" si="10"/>
        <v>30</v>
      </c>
      <c r="AO16" s="3">
        <f t="shared" si="10"/>
        <v>31</v>
      </c>
      <c r="AP16" s="25" t="str">
        <f t="shared" si="10"/>
        <v/>
      </c>
      <c r="AQ16" s="25" t="str">
        <f t="shared" si="10"/>
        <v/>
      </c>
      <c r="AY16" s="3">
        <f>IF(AND(BE15&gt;0,BE15&lt;$AV$10),BE15+1,"")</f>
        <v>24</v>
      </c>
      <c r="AZ16" s="3">
        <f t="shared" si="11"/>
        <v>25</v>
      </c>
      <c r="BA16" s="3">
        <f t="shared" si="11"/>
        <v>26</v>
      </c>
      <c r="BB16" s="3">
        <f t="shared" si="11"/>
        <v>27</v>
      </c>
      <c r="BC16" s="3">
        <f t="shared" si="11"/>
        <v>28</v>
      </c>
      <c r="BD16" s="25">
        <f t="shared" si="11"/>
        <v>29</v>
      </c>
      <c r="BE16" s="25">
        <f t="shared" si="11"/>
        <v>30</v>
      </c>
      <c r="BH16" s="60" t="s">
        <v>34</v>
      </c>
      <c r="BI16" s="60"/>
    </row>
    <row r="17" spans="1:61" ht="16.5" thickBot="1" x14ac:dyDescent="0.35">
      <c r="I17" s="3" t="str">
        <f>IF(AND(O16&gt;0,O16&lt;$F$10),O16+1,"")</f>
        <v/>
      </c>
      <c r="J17" s="3" t="str">
        <f t="shared" si="8"/>
        <v/>
      </c>
      <c r="K17" s="3" t="str">
        <f t="shared" si="8"/>
        <v/>
      </c>
      <c r="L17" s="3" t="str">
        <f t="shared" si="8"/>
        <v/>
      </c>
      <c r="M17" s="3" t="str">
        <f t="shared" si="8"/>
        <v/>
      </c>
      <c r="N17" s="25" t="str">
        <f t="shared" si="8"/>
        <v/>
      </c>
      <c r="O17" s="25" t="str">
        <f t="shared" si="8"/>
        <v/>
      </c>
      <c r="W17" s="3" t="str">
        <f>IF(AND(AC16&gt;0,AC16&lt;$T$10),AC16+1,"")</f>
        <v/>
      </c>
      <c r="X17" s="3" t="str">
        <f t="shared" si="9"/>
        <v/>
      </c>
      <c r="Y17" s="3" t="str">
        <f t="shared" si="9"/>
        <v/>
      </c>
      <c r="Z17" s="3" t="str">
        <f t="shared" si="9"/>
        <v/>
      </c>
      <c r="AA17" s="3" t="str">
        <f t="shared" si="9"/>
        <v/>
      </c>
      <c r="AB17" s="25" t="str">
        <f t="shared" si="9"/>
        <v/>
      </c>
      <c r="AC17" s="25" t="str">
        <f t="shared" si="9"/>
        <v/>
      </c>
      <c r="AK17" s="3" t="str">
        <f>IF(AND(AQ16&gt;0,AQ16&lt;$AH$10),AQ16+1,"")</f>
        <v/>
      </c>
      <c r="AL17" s="3" t="str">
        <f t="shared" si="10"/>
        <v/>
      </c>
      <c r="AM17" s="3" t="str">
        <f t="shared" si="10"/>
        <v/>
      </c>
      <c r="AN17" s="3" t="str">
        <f t="shared" si="10"/>
        <v/>
      </c>
      <c r="AO17" s="3" t="str">
        <f t="shared" si="10"/>
        <v/>
      </c>
      <c r="AP17" s="25" t="str">
        <f t="shared" si="10"/>
        <v/>
      </c>
      <c r="AQ17" s="25" t="str">
        <f t="shared" si="10"/>
        <v/>
      </c>
      <c r="AY17" s="3">
        <f>IF(AND(BE16&gt;0,BE16&lt;$AV$10),BE16+1,"")</f>
        <v>31</v>
      </c>
      <c r="AZ17" s="3" t="str">
        <f t="shared" si="11"/>
        <v/>
      </c>
      <c r="BA17" s="3" t="str">
        <f t="shared" si="11"/>
        <v/>
      </c>
      <c r="BB17" s="3" t="str">
        <f t="shared" si="11"/>
        <v/>
      </c>
      <c r="BC17" s="3" t="str">
        <f t="shared" si="11"/>
        <v/>
      </c>
      <c r="BD17" s="25" t="str">
        <f t="shared" si="11"/>
        <v/>
      </c>
      <c r="BE17" s="25" t="str">
        <f t="shared" si="11"/>
        <v/>
      </c>
      <c r="BH17" s="20" t="s">
        <v>0</v>
      </c>
      <c r="BI17" s="24">
        <f>B2</f>
        <v>2020</v>
      </c>
    </row>
    <row r="18" spans="1:61" x14ac:dyDescent="0.25">
      <c r="A18" s="4"/>
      <c r="B18" s="4"/>
      <c r="C18" s="4"/>
      <c r="D18" s="4"/>
      <c r="E18" s="4"/>
      <c r="F18" s="4"/>
      <c r="G18" s="4"/>
      <c r="H18" s="4"/>
      <c r="I18" s="5"/>
      <c r="J18" s="5"/>
      <c r="K18" s="5"/>
      <c r="L18" s="5"/>
      <c r="M18" s="5"/>
      <c r="N18" s="5"/>
      <c r="O18" s="5"/>
      <c r="P18" s="4"/>
      <c r="AD18" s="4"/>
      <c r="AR18" s="4"/>
      <c r="BF18" s="4"/>
      <c r="BG18" s="4"/>
      <c r="BH18" s="21">
        <v>23</v>
      </c>
      <c r="BI18" s="21" t="s">
        <v>31</v>
      </c>
    </row>
    <row r="19" spans="1:61" x14ac:dyDescent="0.25">
      <c r="C19" s="1">
        <f>DATE($B$2,E19,1)</f>
        <v>44075</v>
      </c>
      <c r="E19">
        <v>9</v>
      </c>
      <c r="F19">
        <f>DAY(EOMONTH(C19,0))</f>
        <v>30</v>
      </c>
      <c r="G19">
        <f>WEEKDAY(DATE($B$2,E19,1),2)</f>
        <v>2</v>
      </c>
      <c r="I19" s="57" t="s">
        <v>17</v>
      </c>
      <c r="J19" s="57"/>
      <c r="K19" s="57"/>
      <c r="L19" s="57"/>
      <c r="M19" s="57"/>
      <c r="N19" s="57"/>
      <c r="O19" s="57"/>
      <c r="Q19" s="1">
        <f>DATE($B$2,S19,1)</f>
        <v>44105</v>
      </c>
      <c r="S19">
        <v>10</v>
      </c>
      <c r="T19">
        <f>DAY(EOMONTH(Q19,0))</f>
        <v>31</v>
      </c>
      <c r="U19">
        <f>WEEKDAY(DATE($B$2,S19,1),2)</f>
        <v>4</v>
      </c>
      <c r="W19" s="57" t="s">
        <v>18</v>
      </c>
      <c r="X19" s="57"/>
      <c r="Y19" s="57"/>
      <c r="Z19" s="57"/>
      <c r="AA19" s="57"/>
      <c r="AB19" s="57"/>
      <c r="AC19" s="57"/>
      <c r="AE19" s="1">
        <f>DATE($B$2,AG19,1)</f>
        <v>44136</v>
      </c>
      <c r="AG19">
        <v>11</v>
      </c>
      <c r="AH19">
        <f>DAY(EOMONTH(AE19,0))</f>
        <v>30</v>
      </c>
      <c r="AI19">
        <f>WEEKDAY(DATE($B$2,AG19,1),2)</f>
        <v>7</v>
      </c>
      <c r="AK19" s="57" t="s">
        <v>19</v>
      </c>
      <c r="AL19" s="57"/>
      <c r="AM19" s="57"/>
      <c r="AN19" s="57"/>
      <c r="AO19" s="57"/>
      <c r="AP19" s="57"/>
      <c r="AQ19" s="57"/>
      <c r="AS19" s="1">
        <f>DATE($B$2,AU19,1)</f>
        <v>44166</v>
      </c>
      <c r="AU19">
        <v>12</v>
      </c>
      <c r="AV19">
        <f>DAY(EOMONTH(AS19,0))</f>
        <v>31</v>
      </c>
      <c r="AW19">
        <f>WEEKDAY(DATE($B$2,AU19,1),2)</f>
        <v>2</v>
      </c>
      <c r="AY19" s="57" t="s">
        <v>20</v>
      </c>
      <c r="AZ19" s="57"/>
      <c r="BA19" s="57"/>
      <c r="BB19" s="57"/>
      <c r="BC19" s="57"/>
      <c r="BD19" s="57"/>
      <c r="BE19" s="57"/>
      <c r="BH19" s="22" t="e" cm="1">
        <f t="array" aca="1" ref="BH19" ca="1">[1]PLANTILLA!$AB$36(BH12,I1:BE26)</f>
        <v>#REF!</v>
      </c>
      <c r="BI19" s="22" t="s">
        <v>32</v>
      </c>
    </row>
    <row r="20" spans="1:61" ht="15.75" thickBot="1" x14ac:dyDescent="0.3">
      <c r="I20" s="2" t="s">
        <v>3</v>
      </c>
      <c r="J20" s="2" t="s">
        <v>4</v>
      </c>
      <c r="K20" s="2" t="s">
        <v>5</v>
      </c>
      <c r="L20" s="2" t="s">
        <v>6</v>
      </c>
      <c r="M20" s="2" t="s">
        <v>7</v>
      </c>
      <c r="N20" s="2" t="s">
        <v>8</v>
      </c>
      <c r="O20" s="2" t="s">
        <v>9</v>
      </c>
      <c r="W20" s="2" t="s">
        <v>3</v>
      </c>
      <c r="X20" s="2" t="s">
        <v>4</v>
      </c>
      <c r="Y20" s="2" t="s">
        <v>5</v>
      </c>
      <c r="Z20" s="2" t="s">
        <v>6</v>
      </c>
      <c r="AA20" s="2" t="s">
        <v>7</v>
      </c>
      <c r="AB20" s="2" t="s">
        <v>8</v>
      </c>
      <c r="AC20" s="2" t="s">
        <v>9</v>
      </c>
      <c r="AK20" s="2" t="s">
        <v>3</v>
      </c>
      <c r="AL20" s="2" t="s">
        <v>4</v>
      </c>
      <c r="AM20" s="2" t="s">
        <v>5</v>
      </c>
      <c r="AN20" s="2" t="s">
        <v>6</v>
      </c>
      <c r="AO20" s="2" t="s">
        <v>7</v>
      </c>
      <c r="AP20" s="2" t="s">
        <v>8</v>
      </c>
      <c r="AQ20" s="2" t="s">
        <v>9</v>
      </c>
      <c r="AY20" s="2" t="s">
        <v>3</v>
      </c>
      <c r="AZ20" s="2" t="s">
        <v>4</v>
      </c>
      <c r="BA20" s="2" t="s">
        <v>5</v>
      </c>
      <c r="BB20" s="2" t="s">
        <v>6</v>
      </c>
      <c r="BC20" s="2" t="s">
        <v>7</v>
      </c>
      <c r="BD20" s="2" t="s">
        <v>8</v>
      </c>
      <c r="BE20" s="2" t="s">
        <v>9</v>
      </c>
      <c r="BH20" s="23" t="e">
        <f ca="1">BH18-BH19</f>
        <v>#REF!</v>
      </c>
      <c r="BI20" s="23" t="s">
        <v>33</v>
      </c>
    </row>
    <row r="21" spans="1:61" x14ac:dyDescent="0.25">
      <c r="I21" s="3" t="str">
        <f>IF($G$19=1,1,"")</f>
        <v/>
      </c>
      <c r="J21" s="3">
        <f>IF(NOT(I21=""),I21+1,IF($G$19=2,1,""))</f>
        <v>1</v>
      </c>
      <c r="K21" s="3">
        <f>IF(NOT(J21=""),J21+1,IF($G$19=3,1,""))</f>
        <v>2</v>
      </c>
      <c r="L21" s="3">
        <f>IF(NOT(K21=""),K21+1,IF($G$19=4,1,""))</f>
        <v>3</v>
      </c>
      <c r="M21" s="3">
        <f>IF(NOT(L21=""),L21+1,IF($G$19=5,1,""))</f>
        <v>4</v>
      </c>
      <c r="N21" s="25">
        <f>IF(NOT(M21=""),M21+1,IF($G$19=6,1,""))</f>
        <v>5</v>
      </c>
      <c r="O21" s="25">
        <f>IF(NOT(N21=""),N21+1,IF($G$19=7,1,""))</f>
        <v>6</v>
      </c>
      <c r="W21" s="3" t="str">
        <f>IF($U$19=1,1,"")</f>
        <v/>
      </c>
      <c r="X21" s="3" t="str">
        <f>IF(NOT(W21=""),W21+1,IF($U$19=2,1,""))</f>
        <v/>
      </c>
      <c r="Y21" s="3" t="str">
        <f>IF(NOT(X21=""),X21+1,IF($U$19=3,1,""))</f>
        <v/>
      </c>
      <c r="Z21" s="3">
        <f>IF(NOT(Y21=""),Y21+1,IF($U$19=4,1,""))</f>
        <v>1</v>
      </c>
      <c r="AA21" s="3">
        <f>IF(NOT(Z21=""),Z21+1,IF($U$19=5,1,""))</f>
        <v>2</v>
      </c>
      <c r="AB21" s="25">
        <f>IF(NOT(AA21=""),AA21+1,IF($U$19=6,1,""))</f>
        <v>3</v>
      </c>
      <c r="AC21" s="25">
        <f>IF(NOT(AB21=""),AB21+1,IF($U$19=7,1,""))</f>
        <v>4</v>
      </c>
      <c r="AK21" s="3" t="str">
        <f>IF($AI$19=1,1,"")</f>
        <v/>
      </c>
      <c r="AL21" s="3" t="str">
        <f>IF(NOT(AK21=""),AK21+1,IF($AI$19=2,1,""))</f>
        <v/>
      </c>
      <c r="AM21" s="3" t="str">
        <f>IF(NOT(AL21=""),AL21+1,IF($AI$19=3,1,""))</f>
        <v/>
      </c>
      <c r="AN21" s="3" t="str">
        <f>IF(NOT(AM21=""),AM21+1,IF($AI$19=4,1,""))</f>
        <v/>
      </c>
      <c r="AO21" s="3" t="str">
        <f>IF(NOT(AN21=""),AN21+1,IF($AI$19=5,1,""))</f>
        <v/>
      </c>
      <c r="AP21" s="25" t="str">
        <f>IF(NOT(AO21=""),AO21+1,IF($AI$19=6,1,""))</f>
        <v/>
      </c>
      <c r="AQ21" s="25">
        <f>IF(NOT(AP21=""),AP21+1,IF($AI$19=7,1,""))</f>
        <v>1</v>
      </c>
      <c r="AY21" s="3" t="str">
        <f>IF($AW$19=1,1,"")</f>
        <v/>
      </c>
      <c r="AZ21" s="3">
        <f>IF(NOT(AY21=""),AY21+1,IF($AW$19=2,1,""))</f>
        <v>1</v>
      </c>
      <c r="BA21" s="3">
        <f>IF(NOT(AZ21=""),AZ21+1,IF($AW$19=3,1,""))</f>
        <v>2</v>
      </c>
      <c r="BB21" s="3">
        <f>IF(NOT(BA21=""),BA21+1,IF($AW$19=4,1,""))</f>
        <v>3</v>
      </c>
      <c r="BC21" s="3">
        <f>IF(NOT(BB21=""),BB21+1,IF($AW$19=5,1,""))</f>
        <v>4</v>
      </c>
      <c r="BD21" s="25">
        <f>IF(NOT(BC21=""),BC21+1,IF($AW$19=6,1,""))</f>
        <v>5</v>
      </c>
      <c r="BE21" s="25">
        <f>IF(NOT(BD21=""),BD21+1,IF($AW$19=7,1,""))</f>
        <v>6</v>
      </c>
    </row>
    <row r="22" spans="1:61" x14ac:dyDescent="0.25">
      <c r="I22" s="3">
        <f>IF(AND(O21&gt;0,O21&lt;$F$19),O21+1,"")</f>
        <v>7</v>
      </c>
      <c r="J22" s="3">
        <f t="shared" ref="J22:O26" si="12">IF(AND(I22&gt;0,I22&lt;$F$19),I22+1,"")</f>
        <v>8</v>
      </c>
      <c r="K22" s="3">
        <f t="shared" si="12"/>
        <v>9</v>
      </c>
      <c r="L22" s="3">
        <f t="shared" si="12"/>
        <v>10</v>
      </c>
      <c r="M22" s="3">
        <f t="shared" si="12"/>
        <v>11</v>
      </c>
      <c r="N22" s="25">
        <f t="shared" si="12"/>
        <v>12</v>
      </c>
      <c r="O22" s="25">
        <f t="shared" si="12"/>
        <v>13</v>
      </c>
      <c r="W22" s="3">
        <f>IF(AND(AC21&gt;0,AC21&lt;$T$19),AC21+1,"")</f>
        <v>5</v>
      </c>
      <c r="X22" s="3">
        <f t="shared" ref="X22:AC26" si="13">IF(AND(W22&gt;0,W22&lt;$T$19),W22+1,"")</f>
        <v>6</v>
      </c>
      <c r="Y22" s="3">
        <f t="shared" si="13"/>
        <v>7</v>
      </c>
      <c r="Z22" s="3">
        <f t="shared" si="13"/>
        <v>8</v>
      </c>
      <c r="AA22" s="3">
        <f t="shared" si="13"/>
        <v>9</v>
      </c>
      <c r="AB22" s="25">
        <f t="shared" si="13"/>
        <v>10</v>
      </c>
      <c r="AC22" s="25">
        <f t="shared" si="13"/>
        <v>11</v>
      </c>
      <c r="AK22" s="3">
        <f>IF(AND(AQ21&gt;0,AQ21&lt;$AH$19),AQ21+1,"")</f>
        <v>2</v>
      </c>
      <c r="AL22" s="3">
        <f t="shared" ref="AL22:AQ26" si="14">IF(AND(AK22&gt;0,AK22&lt;$AH$19),AK22+1,"")</f>
        <v>3</v>
      </c>
      <c r="AM22" s="3">
        <f t="shared" si="14"/>
        <v>4</v>
      </c>
      <c r="AN22" s="3">
        <f t="shared" si="14"/>
        <v>5</v>
      </c>
      <c r="AO22" s="3">
        <f t="shared" si="14"/>
        <v>6</v>
      </c>
      <c r="AP22" s="25">
        <f t="shared" si="14"/>
        <v>7</v>
      </c>
      <c r="AQ22" s="25">
        <f t="shared" si="14"/>
        <v>8</v>
      </c>
      <c r="AY22" s="3">
        <f>IF(AND(BE21&gt;0,BE21&lt;$AV$19),BE21+1,"")</f>
        <v>7</v>
      </c>
      <c r="AZ22" s="3">
        <f t="shared" ref="AZ22:BE26" si="15">IF(AND(AY22&gt;0,AY22&lt;$AV$19),AY22+1,"")</f>
        <v>8</v>
      </c>
      <c r="BA22" s="3">
        <f t="shared" si="15"/>
        <v>9</v>
      </c>
      <c r="BB22" s="3">
        <f t="shared" si="15"/>
        <v>10</v>
      </c>
      <c r="BC22" s="3">
        <f t="shared" si="15"/>
        <v>11</v>
      </c>
      <c r="BD22" s="25">
        <f t="shared" si="15"/>
        <v>12</v>
      </c>
      <c r="BE22" s="25">
        <f t="shared" si="15"/>
        <v>13</v>
      </c>
    </row>
    <row r="23" spans="1:61" x14ac:dyDescent="0.25">
      <c r="I23" s="3">
        <f>IF(AND(O22&gt;0,O22&lt;$F$19),O22+1,"")</f>
        <v>14</v>
      </c>
      <c r="J23" s="3">
        <f t="shared" si="12"/>
        <v>15</v>
      </c>
      <c r="K23" s="3">
        <f t="shared" si="12"/>
        <v>16</v>
      </c>
      <c r="L23" s="3">
        <f t="shared" si="12"/>
        <v>17</v>
      </c>
      <c r="M23" s="3">
        <f t="shared" si="12"/>
        <v>18</v>
      </c>
      <c r="N23" s="25">
        <f t="shared" si="12"/>
        <v>19</v>
      </c>
      <c r="O23" s="25">
        <f t="shared" si="12"/>
        <v>20</v>
      </c>
      <c r="W23" s="3">
        <f>IF(AND(AC22&gt;0,AC22&lt;$T$19),AC22+1,"")</f>
        <v>12</v>
      </c>
      <c r="X23" s="3">
        <f t="shared" si="13"/>
        <v>13</v>
      </c>
      <c r="Y23" s="3">
        <f t="shared" si="13"/>
        <v>14</v>
      </c>
      <c r="Z23" s="3">
        <f t="shared" si="13"/>
        <v>15</v>
      </c>
      <c r="AA23" s="3">
        <f t="shared" si="13"/>
        <v>16</v>
      </c>
      <c r="AB23" s="25">
        <f t="shared" si="13"/>
        <v>17</v>
      </c>
      <c r="AC23" s="25">
        <f t="shared" si="13"/>
        <v>18</v>
      </c>
      <c r="AK23" s="3">
        <f>IF(AND(AQ22&gt;0,AQ22&lt;$AH$19),AQ22+1,"")</f>
        <v>9</v>
      </c>
      <c r="AL23" s="3">
        <f t="shared" si="14"/>
        <v>10</v>
      </c>
      <c r="AM23" s="3">
        <f t="shared" si="14"/>
        <v>11</v>
      </c>
      <c r="AN23" s="3">
        <f t="shared" si="14"/>
        <v>12</v>
      </c>
      <c r="AO23" s="3">
        <f t="shared" si="14"/>
        <v>13</v>
      </c>
      <c r="AP23" s="25">
        <f t="shared" si="14"/>
        <v>14</v>
      </c>
      <c r="AQ23" s="25">
        <f t="shared" si="14"/>
        <v>15</v>
      </c>
      <c r="AY23" s="3">
        <f>IF(AND(BE22&gt;0,BE22&lt;$AV$19),BE22+1,"")</f>
        <v>14</v>
      </c>
      <c r="AZ23" s="3">
        <f t="shared" si="15"/>
        <v>15</v>
      </c>
      <c r="BA23" s="3">
        <f t="shared" si="15"/>
        <v>16</v>
      </c>
      <c r="BB23" s="3">
        <f t="shared" si="15"/>
        <v>17</v>
      </c>
      <c r="BC23" s="3">
        <f t="shared" si="15"/>
        <v>18</v>
      </c>
      <c r="BD23" s="25">
        <f t="shared" si="15"/>
        <v>19</v>
      </c>
      <c r="BE23" s="25">
        <f t="shared" si="15"/>
        <v>20</v>
      </c>
    </row>
    <row r="24" spans="1:61" x14ac:dyDescent="0.25">
      <c r="I24" s="3">
        <f>IF(AND(O23&gt;0,O23&lt;$F$19),O23+1,"")</f>
        <v>21</v>
      </c>
      <c r="J24" s="3">
        <f t="shared" si="12"/>
        <v>22</v>
      </c>
      <c r="K24" s="3">
        <f t="shared" si="12"/>
        <v>23</v>
      </c>
      <c r="L24" s="3">
        <f t="shared" si="12"/>
        <v>24</v>
      </c>
      <c r="M24" s="3">
        <f t="shared" si="12"/>
        <v>25</v>
      </c>
      <c r="N24" s="25">
        <f t="shared" si="12"/>
        <v>26</v>
      </c>
      <c r="O24" s="25">
        <f t="shared" si="12"/>
        <v>27</v>
      </c>
      <c r="W24" s="3">
        <f>IF(AND(AC23&gt;0,AC23&lt;$T$19),AC23+1,"")</f>
        <v>19</v>
      </c>
      <c r="X24" s="3">
        <f t="shared" si="13"/>
        <v>20</v>
      </c>
      <c r="Y24" s="3">
        <f t="shared" si="13"/>
        <v>21</v>
      </c>
      <c r="Z24" s="3">
        <f t="shared" si="13"/>
        <v>22</v>
      </c>
      <c r="AA24" s="3">
        <f t="shared" si="13"/>
        <v>23</v>
      </c>
      <c r="AB24" s="25">
        <f t="shared" si="13"/>
        <v>24</v>
      </c>
      <c r="AC24" s="25">
        <f t="shared" si="13"/>
        <v>25</v>
      </c>
      <c r="AK24" s="3">
        <f>IF(AND(AQ23&gt;0,AQ23&lt;$AH$19),AQ23+1,"")</f>
        <v>16</v>
      </c>
      <c r="AL24" s="3">
        <f t="shared" si="14"/>
        <v>17</v>
      </c>
      <c r="AM24" s="3">
        <f t="shared" si="14"/>
        <v>18</v>
      </c>
      <c r="AN24" s="3">
        <f t="shared" si="14"/>
        <v>19</v>
      </c>
      <c r="AO24" s="3">
        <f t="shared" si="14"/>
        <v>20</v>
      </c>
      <c r="AP24" s="25">
        <f t="shared" si="14"/>
        <v>21</v>
      </c>
      <c r="AQ24" s="25">
        <f t="shared" si="14"/>
        <v>22</v>
      </c>
      <c r="AY24" s="3">
        <f>IF(AND(BE23&gt;0,BE23&lt;$AV$19),BE23+1,"")</f>
        <v>21</v>
      </c>
      <c r="AZ24" s="3">
        <f t="shared" si="15"/>
        <v>22</v>
      </c>
      <c r="BA24" s="3">
        <f t="shared" si="15"/>
        <v>23</v>
      </c>
      <c r="BB24" s="3">
        <f t="shared" si="15"/>
        <v>24</v>
      </c>
      <c r="BC24" s="3">
        <f t="shared" si="15"/>
        <v>25</v>
      </c>
      <c r="BD24" s="25">
        <f t="shared" si="15"/>
        <v>26</v>
      </c>
      <c r="BE24" s="25">
        <f t="shared" si="15"/>
        <v>27</v>
      </c>
    </row>
    <row r="25" spans="1:61" x14ac:dyDescent="0.25">
      <c r="I25" s="3">
        <f>IF(AND(O24&gt;0,O24&lt;$F$19),O24+1,"")</f>
        <v>28</v>
      </c>
      <c r="J25" s="3">
        <f t="shared" si="12"/>
        <v>29</v>
      </c>
      <c r="K25" s="3">
        <f t="shared" si="12"/>
        <v>30</v>
      </c>
      <c r="L25" s="3" t="str">
        <f t="shared" si="12"/>
        <v/>
      </c>
      <c r="M25" s="3" t="str">
        <f t="shared" si="12"/>
        <v/>
      </c>
      <c r="N25" s="25" t="str">
        <f t="shared" si="12"/>
        <v/>
      </c>
      <c r="O25" s="25" t="str">
        <f t="shared" si="12"/>
        <v/>
      </c>
      <c r="W25" s="3">
        <f>IF(AND(AC24&gt;0,AC24&lt;$T$19),AC24+1,"")</f>
        <v>26</v>
      </c>
      <c r="X25" s="3">
        <f t="shared" si="13"/>
        <v>27</v>
      </c>
      <c r="Y25" s="3">
        <f t="shared" si="13"/>
        <v>28</v>
      </c>
      <c r="Z25" s="3">
        <f t="shared" si="13"/>
        <v>29</v>
      </c>
      <c r="AA25" s="3">
        <f t="shared" si="13"/>
        <v>30</v>
      </c>
      <c r="AB25" s="25">
        <f t="shared" si="13"/>
        <v>31</v>
      </c>
      <c r="AC25" s="25" t="str">
        <f t="shared" si="13"/>
        <v/>
      </c>
      <c r="AK25" s="3">
        <f>IF(AND(AQ24&gt;0,AQ24&lt;$AH$19),AQ24+1,"")</f>
        <v>23</v>
      </c>
      <c r="AL25" s="3">
        <f t="shared" si="14"/>
        <v>24</v>
      </c>
      <c r="AM25" s="3">
        <f t="shared" si="14"/>
        <v>25</v>
      </c>
      <c r="AN25" s="3">
        <f t="shared" si="14"/>
        <v>26</v>
      </c>
      <c r="AO25" s="3">
        <f t="shared" si="14"/>
        <v>27</v>
      </c>
      <c r="AP25" s="25">
        <f t="shared" si="14"/>
        <v>28</v>
      </c>
      <c r="AQ25" s="25">
        <f t="shared" si="14"/>
        <v>29</v>
      </c>
      <c r="AY25" s="3">
        <f>IF(AND(BE24&gt;0,BE24&lt;$AV$19),BE24+1,"")</f>
        <v>28</v>
      </c>
      <c r="AZ25" s="3">
        <f t="shared" si="15"/>
        <v>29</v>
      </c>
      <c r="BA25" s="3">
        <f t="shared" si="15"/>
        <v>30</v>
      </c>
      <c r="BB25" s="3">
        <f t="shared" si="15"/>
        <v>31</v>
      </c>
      <c r="BC25" s="3" t="str">
        <f t="shared" si="15"/>
        <v/>
      </c>
      <c r="BD25" s="25" t="str">
        <f t="shared" si="15"/>
        <v/>
      </c>
      <c r="BE25" s="25" t="str">
        <f t="shared" si="15"/>
        <v/>
      </c>
    </row>
    <row r="26" spans="1:61" x14ac:dyDescent="0.25">
      <c r="I26" s="3" t="str">
        <f>IF(AND(O25&gt;0,O25&lt;$F$19),O25+1,"")</f>
        <v/>
      </c>
      <c r="J26" s="3" t="str">
        <f t="shared" si="12"/>
        <v/>
      </c>
      <c r="K26" s="3" t="str">
        <f t="shared" si="12"/>
        <v/>
      </c>
      <c r="L26" s="3" t="str">
        <f t="shared" si="12"/>
        <v/>
      </c>
      <c r="M26" s="3" t="str">
        <f t="shared" si="12"/>
        <v/>
      </c>
      <c r="N26" s="25" t="str">
        <f t="shared" si="12"/>
        <v/>
      </c>
      <c r="O26" s="25" t="str">
        <f t="shared" si="12"/>
        <v/>
      </c>
      <c r="W26" s="3" t="str">
        <f>IF(AND(AC25&gt;0,AC25&lt;$T$19),AC25+1,"")</f>
        <v/>
      </c>
      <c r="X26" s="3" t="str">
        <f t="shared" si="13"/>
        <v/>
      </c>
      <c r="Y26" s="3" t="str">
        <f t="shared" si="13"/>
        <v/>
      </c>
      <c r="Z26" s="3" t="str">
        <f t="shared" si="13"/>
        <v/>
      </c>
      <c r="AA26" s="3" t="str">
        <f t="shared" si="13"/>
        <v/>
      </c>
      <c r="AB26" s="25" t="str">
        <f t="shared" si="13"/>
        <v/>
      </c>
      <c r="AC26" s="25" t="str">
        <f t="shared" si="13"/>
        <v/>
      </c>
      <c r="AK26" s="3">
        <f>IF(AND(AQ25&gt;0,AQ25&lt;$AH$19),AQ25+1,"")</f>
        <v>30</v>
      </c>
      <c r="AL26" s="3" t="str">
        <f t="shared" si="14"/>
        <v/>
      </c>
      <c r="AM26" s="3" t="str">
        <f t="shared" si="14"/>
        <v/>
      </c>
      <c r="AN26" s="3" t="str">
        <f t="shared" si="14"/>
        <v/>
      </c>
      <c r="AO26" s="3" t="str">
        <f t="shared" si="14"/>
        <v/>
      </c>
      <c r="AP26" s="25" t="str">
        <f t="shared" si="14"/>
        <v/>
      </c>
      <c r="AQ26" s="25" t="str">
        <f t="shared" si="14"/>
        <v/>
      </c>
      <c r="AY26" s="3" t="str">
        <f>IF(AND(BE25&gt;0,BE25&lt;$AV$19),BE25+1,"")</f>
        <v/>
      </c>
      <c r="AZ26" s="3" t="str">
        <f t="shared" si="15"/>
        <v/>
      </c>
      <c r="BA26" s="3" t="str">
        <f t="shared" si="15"/>
        <v/>
      </c>
      <c r="BB26" s="3" t="str">
        <f t="shared" si="15"/>
        <v/>
      </c>
      <c r="BC26" s="3" t="str">
        <f t="shared" si="15"/>
        <v/>
      </c>
      <c r="BD26" s="25" t="str">
        <f t="shared" si="15"/>
        <v/>
      </c>
      <c r="BE26" s="25" t="str">
        <f t="shared" si="15"/>
        <v/>
      </c>
    </row>
    <row r="32" spans="1:61" x14ac:dyDescent="0.25"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</row>
    <row r="33" spans="17:59" x14ac:dyDescent="0.25"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</row>
    <row r="34" spans="17:59" x14ac:dyDescent="0.25"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</row>
    <row r="35" spans="17:59" x14ac:dyDescent="0.25"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</row>
    <row r="36" spans="17:59" x14ac:dyDescent="0.25">
      <c r="Q36" s="4"/>
      <c r="R36" s="4"/>
      <c r="S36" s="4"/>
      <c r="T36" s="4"/>
      <c r="U36" s="4"/>
      <c r="V36" s="38"/>
      <c r="W36" s="38"/>
      <c r="X36" s="38"/>
      <c r="Y36" s="38"/>
      <c r="Z36" s="38"/>
      <c r="AA36" s="38"/>
      <c r="AB36" s="38"/>
      <c r="AC36" s="38"/>
      <c r="AD36" s="12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12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12"/>
      <c r="BG36" s="12"/>
    </row>
    <row r="37" spans="17:59" x14ac:dyDescent="0.25"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</row>
    <row r="38" spans="17:59" x14ac:dyDescent="0.25"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</row>
    <row r="39" spans="17:59" x14ac:dyDescent="0.25"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</row>
    <row r="40" spans="17:59" x14ac:dyDescent="0.25"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</row>
    <row r="41" spans="17:59" x14ac:dyDescent="0.25"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</row>
    <row r="42" spans="17:59" x14ac:dyDescent="0.25"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</row>
    <row r="43" spans="17:59" x14ac:dyDescent="0.25"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</row>
    <row r="44" spans="17:59" x14ac:dyDescent="0.25"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</row>
    <row r="45" spans="17:59" x14ac:dyDescent="0.25">
      <c r="Q45" s="4"/>
      <c r="R45" s="4"/>
      <c r="S45" s="4"/>
      <c r="T45" s="4"/>
      <c r="U45" s="4"/>
      <c r="V45" s="38"/>
      <c r="W45" s="38"/>
      <c r="X45" s="38"/>
      <c r="Y45" s="38"/>
      <c r="Z45" s="38"/>
      <c r="AA45" s="38"/>
      <c r="AB45" s="38"/>
      <c r="AC45" s="38"/>
      <c r="AD45" s="12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12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12"/>
      <c r="BG45" s="12"/>
    </row>
    <row r="46" spans="17:59" x14ac:dyDescent="0.25"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</row>
    <row r="47" spans="17:59" x14ac:dyDescent="0.25"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</row>
    <row r="48" spans="17:59" x14ac:dyDescent="0.25"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</row>
    <row r="49" spans="22:59" x14ac:dyDescent="0.25"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</row>
    <row r="50" spans="22:59" x14ac:dyDescent="0.25"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</row>
    <row r="51" spans="22:59" x14ac:dyDescent="0.25"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</row>
  </sheetData>
  <mergeCells count="16">
    <mergeCell ref="A1:B1"/>
    <mergeCell ref="BI3:BJ3"/>
    <mergeCell ref="AY19:BE19"/>
    <mergeCell ref="AK19:AQ19"/>
    <mergeCell ref="W19:AC19"/>
    <mergeCell ref="I1:O1"/>
    <mergeCell ref="I10:O10"/>
    <mergeCell ref="AY1:BE1"/>
    <mergeCell ref="AK1:AQ1"/>
    <mergeCell ref="W1:AC1"/>
    <mergeCell ref="I19:O19"/>
    <mergeCell ref="AY10:BE10"/>
    <mergeCell ref="AK10:AQ10"/>
    <mergeCell ref="W10:AC10"/>
    <mergeCell ref="BH16:BI16"/>
    <mergeCell ref="BI2:BJ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864043FD-228B-4DBA-9CE8-9079E950713E}">
            <xm:f>Data!$C$4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14:cfRule type="cellIs" priority="17" operator="equal" id="{8FE29DDB-94B4-40B0-8EEB-F5E5A1B71697}">
            <xm:f>Data!$C$3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m:sqref>I3:O8</xm:sqref>
        </x14:conditionalFormatting>
        <x14:conditionalFormatting xmlns:xm="http://schemas.microsoft.com/office/excel/2006/main">
          <x14:cfRule type="cellIs" priority="15" operator="equal" id="{D6FD2F52-DA45-4674-B8B0-959C1FBCF1B3}">
            <xm:f>Data!$C$5</xm:f>
            <x14:dxf>
              <font>
                <b/>
                <i val="0"/>
                <color auto="1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m:sqref>AK3:AQ8</xm:sqref>
        </x14:conditionalFormatting>
        <x14:conditionalFormatting xmlns:xm="http://schemas.microsoft.com/office/excel/2006/main">
          <x14:cfRule type="cellIs" priority="11" operator="equal" id="{E326B195-1353-4C07-9C4A-BB9AFEA2BD3D}">
            <xm:f>Data!$C$9</xm:f>
            <x14:dxf>
              <font>
                <b/>
                <i val="0"/>
                <color auto="1"/>
              </font>
              <fill>
                <patternFill patternType="darkVertical">
                  <fgColor theme="4" tint="0.39994506668294322"/>
                  <bgColor theme="0"/>
                </patternFill>
              </fill>
            </x14:dxf>
          </x14:cfRule>
          <x14:cfRule type="cellIs" priority="12" operator="equal" id="{0C8A0BDD-DB1A-459C-BE68-C6FB3DA608C4}">
            <xm:f>Data!$C$8</xm:f>
            <x14:dxf>
              <font>
                <b/>
                <i val="0"/>
                <color auto="1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14:cfRule type="cellIs" priority="13" operator="equal" id="{D97592A6-2354-43F4-A730-0C5453BAD689}">
            <xm:f>Data!$C$7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14:cfRule type="cellIs" priority="14" operator="equal" id="{AB3B913B-1BB4-4263-A0F9-DD6CA34D489D}">
            <xm:f>Data!$C$6</xm:f>
            <x14:dxf>
              <font>
                <b/>
                <i val="0"/>
              </font>
              <fill>
                <patternFill patternType="darkHorizontal">
                  <fgColor rgb="FFFFFF00"/>
                  <bgColor rgb="FFFF0000"/>
                </patternFill>
              </fill>
            </x14:dxf>
          </x14:cfRule>
          <xm:sqref>AY3:BE8</xm:sqref>
        </x14:conditionalFormatting>
        <x14:conditionalFormatting xmlns:xm="http://schemas.microsoft.com/office/excel/2006/main">
          <x14:cfRule type="cellIs" priority="10" operator="equal" id="{C75D5F15-C64F-4761-A3A8-578C07784177}">
            <xm:f>Data!$C$10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m:sqref>I12:O17</xm:sqref>
        </x14:conditionalFormatting>
        <x14:conditionalFormatting xmlns:xm="http://schemas.microsoft.com/office/excel/2006/main">
          <x14:cfRule type="cellIs" priority="8" operator="equal" id="{866E4176-1516-4350-9261-6919F8570577}">
            <xm:f>Data!$C$12</xm:f>
            <x14:dxf>
              <font>
                <b/>
                <i val="0"/>
              </font>
              <fill>
                <patternFill patternType="darkHorizontal">
                  <fgColor rgb="FFFFFF00"/>
                  <bgColor rgb="FFFF0000"/>
                </patternFill>
              </fill>
            </x14:dxf>
          </x14:cfRule>
          <x14:cfRule type="cellIs" priority="9" operator="equal" id="{8A290CAD-C8FC-4F9A-8F4F-C4A99786251C}">
            <xm:f>Data!$C$11</xm:f>
            <x14:dxf>
              <font>
                <b/>
                <i val="0"/>
              </font>
              <fill>
                <patternFill patternType="darkVertical">
                  <fgColor theme="4" tint="0.39994506668294322"/>
                  <bgColor auto="1"/>
                </patternFill>
              </fill>
            </x14:dxf>
          </x14:cfRule>
          <xm:sqref>W12:AC17</xm:sqref>
        </x14:conditionalFormatting>
        <x14:conditionalFormatting xmlns:xm="http://schemas.microsoft.com/office/excel/2006/main">
          <x14:cfRule type="cellIs" priority="7" operator="equal" id="{C2E00373-0872-4A16-9055-9D4045A0443D}">
            <xm:f>Data!$C$13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m:sqref>AY12:BE17</xm:sqref>
        </x14:conditionalFormatting>
        <x14:conditionalFormatting xmlns:xm="http://schemas.microsoft.com/office/excel/2006/main">
          <x14:cfRule type="cellIs" priority="5" operator="equal" id="{08A2540A-25BB-4639-B14D-CC4B449944B0}">
            <xm:f>Data!$C$15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14:cfRule type="cellIs" priority="6" operator="equal" id="{5D573F20-0515-4A61-9779-1C49D5109AF4}">
            <xm:f>Data!$C$14</xm:f>
            <x14:dxf>
              <font>
                <b/>
                <i val="0"/>
              </font>
              <fill>
                <patternFill patternType="darkHorizontal">
                  <fgColor rgb="FFFFFF00"/>
                  <bgColor rgb="FFFF0000"/>
                </patternFill>
              </fill>
            </x14:dxf>
          </x14:cfRule>
          <xm:sqref>W21:AC26</xm:sqref>
        </x14:conditionalFormatting>
        <x14:conditionalFormatting xmlns:xm="http://schemas.microsoft.com/office/excel/2006/main">
          <x14:cfRule type="cellIs" priority="4" operator="equal" id="{22D0E4DB-0F20-47EA-942E-BCF674D61E94}">
            <xm:f>Data!$C$16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m:sqref>AK21:AQ26</xm:sqref>
        </x14:conditionalFormatting>
        <x14:conditionalFormatting xmlns:xm="http://schemas.microsoft.com/office/excel/2006/main">
          <x14:cfRule type="cellIs" priority="1" operator="equal" id="{2720CF81-FA29-41C7-9E70-393375490E81}">
            <xm:f>Data!$C$19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14:cfRule type="cellIs" priority="2" operator="equal" id="{03477D60-CE28-4D19-AB7D-1B117EA8AC6D}">
            <xm:f>Data!$C$18</xm:f>
            <x14:dxf>
              <font>
                <b/>
                <i val="0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14:cfRule type="cellIs" priority="3" operator="equal" id="{B941BE8A-36A3-4797-AF1C-1845549F77EB}">
            <xm:f>Data!$C$17</xm:f>
            <x14:dxf>
              <font>
                <b/>
                <i val="0"/>
                <color auto="1"/>
              </font>
              <fill>
                <patternFill patternType="lightDown">
                  <fgColor theme="0"/>
                  <bgColor rgb="FFC00000"/>
                </patternFill>
              </fill>
            </x14:dxf>
          </x14:cfRule>
          <xm:sqref>AY21:BE26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Data!$A$3:$A$41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G44"/>
  <sheetViews>
    <sheetView workbookViewId="0">
      <selection activeCell="K21" sqref="K21"/>
    </sheetView>
  </sheetViews>
  <sheetFormatPr baseColWidth="10" defaultRowHeight="15" x14ac:dyDescent="0.25"/>
  <cols>
    <col min="2" max="2" width="24.5703125" bestFit="1" customWidth="1"/>
    <col min="3" max="3" width="6.140625" bestFit="1" customWidth="1"/>
    <col min="4" max="5" width="7.140625" bestFit="1" customWidth="1"/>
    <col min="6" max="6" width="9.5703125" customWidth="1"/>
    <col min="7" max="7" width="13" bestFit="1" customWidth="1"/>
  </cols>
  <sheetData>
    <row r="1" spans="1:7" x14ac:dyDescent="0.25">
      <c r="A1" s="29"/>
      <c r="B1" s="68" t="s">
        <v>35</v>
      </c>
      <c r="C1" s="69"/>
      <c r="D1" s="69"/>
      <c r="E1" s="69"/>
      <c r="G1" t="s">
        <v>57</v>
      </c>
    </row>
    <row r="2" spans="1:7" x14ac:dyDescent="0.25">
      <c r="A2" t="s">
        <v>21</v>
      </c>
      <c r="B2" t="s">
        <v>37</v>
      </c>
      <c r="C2" t="s">
        <v>36</v>
      </c>
      <c r="D2" t="s">
        <v>39</v>
      </c>
      <c r="E2" t="s">
        <v>54</v>
      </c>
      <c r="G2">
        <f>COUNT(Tabla1[Dia])</f>
        <v>16</v>
      </c>
    </row>
    <row r="3" spans="1:7" x14ac:dyDescent="0.25">
      <c r="A3">
        <v>2000</v>
      </c>
      <c r="B3" t="s">
        <v>38</v>
      </c>
      <c r="C3" s="30">
        <v>1</v>
      </c>
      <c r="D3" s="36">
        <v>1</v>
      </c>
      <c r="E3" t="s">
        <v>55</v>
      </c>
    </row>
    <row r="4" spans="1:7" x14ac:dyDescent="0.25">
      <c r="A4">
        <v>2001</v>
      </c>
      <c r="B4" t="s">
        <v>40</v>
      </c>
      <c r="C4" s="31">
        <v>6</v>
      </c>
      <c r="D4" s="37">
        <v>1</v>
      </c>
      <c r="E4" t="s">
        <v>55</v>
      </c>
    </row>
    <row r="5" spans="1:7" x14ac:dyDescent="0.25">
      <c r="A5">
        <v>2002</v>
      </c>
      <c r="B5" t="s">
        <v>42</v>
      </c>
      <c r="C5" s="30">
        <v>19</v>
      </c>
      <c r="D5" s="36">
        <v>3</v>
      </c>
      <c r="E5" t="s">
        <v>56</v>
      </c>
    </row>
    <row r="6" spans="1:7" x14ac:dyDescent="0.25">
      <c r="A6">
        <v>2003</v>
      </c>
      <c r="B6" t="s">
        <v>41</v>
      </c>
      <c r="C6">
        <v>13</v>
      </c>
      <c r="D6" s="37">
        <v>4</v>
      </c>
      <c r="E6" t="s">
        <v>56</v>
      </c>
    </row>
    <row r="7" spans="1:7" x14ac:dyDescent="0.25">
      <c r="A7">
        <v>2004</v>
      </c>
      <c r="B7" t="s">
        <v>60</v>
      </c>
      <c r="D7" s="37">
        <v>4</v>
      </c>
      <c r="E7" t="s">
        <v>56</v>
      </c>
    </row>
    <row r="8" spans="1:7" x14ac:dyDescent="0.25">
      <c r="A8">
        <v>2005</v>
      </c>
      <c r="B8" t="s">
        <v>53</v>
      </c>
      <c r="C8">
        <v>10</v>
      </c>
      <c r="D8" s="37">
        <v>4</v>
      </c>
      <c r="E8" t="s">
        <v>55</v>
      </c>
    </row>
    <row r="9" spans="1:7" x14ac:dyDescent="0.25">
      <c r="A9">
        <v>2006</v>
      </c>
      <c r="B9" t="s">
        <v>43</v>
      </c>
      <c r="C9">
        <v>23</v>
      </c>
      <c r="D9">
        <v>4</v>
      </c>
      <c r="E9" t="s">
        <v>3</v>
      </c>
    </row>
    <row r="10" spans="1:7" x14ac:dyDescent="0.25">
      <c r="A10">
        <v>2007</v>
      </c>
      <c r="B10" t="s">
        <v>44</v>
      </c>
      <c r="C10">
        <v>1</v>
      </c>
      <c r="D10" s="37">
        <v>5</v>
      </c>
      <c r="E10" t="s">
        <v>55</v>
      </c>
    </row>
    <row r="11" spans="1:7" x14ac:dyDescent="0.25">
      <c r="A11">
        <v>2008</v>
      </c>
      <c r="B11" t="s">
        <v>52</v>
      </c>
      <c r="C11">
        <v>22</v>
      </c>
      <c r="D11">
        <v>6</v>
      </c>
      <c r="E11" t="s">
        <v>3</v>
      </c>
    </row>
    <row r="12" spans="1:7" x14ac:dyDescent="0.25">
      <c r="A12">
        <v>2009</v>
      </c>
      <c r="B12" t="s">
        <v>51</v>
      </c>
      <c r="C12">
        <v>24</v>
      </c>
      <c r="D12" s="37">
        <v>6</v>
      </c>
      <c r="E12" t="s">
        <v>56</v>
      </c>
    </row>
    <row r="13" spans="1:7" x14ac:dyDescent="0.25">
      <c r="A13">
        <v>2010</v>
      </c>
      <c r="B13" t="s">
        <v>50</v>
      </c>
      <c r="C13">
        <v>15</v>
      </c>
      <c r="D13">
        <v>8</v>
      </c>
      <c r="E13" t="s">
        <v>55</v>
      </c>
    </row>
    <row r="14" spans="1:7" x14ac:dyDescent="0.25">
      <c r="A14">
        <v>2011</v>
      </c>
      <c r="B14" t="s">
        <v>49</v>
      </c>
      <c r="C14">
        <v>9</v>
      </c>
      <c r="D14">
        <v>10</v>
      </c>
      <c r="E14" t="s">
        <v>56</v>
      </c>
    </row>
    <row r="15" spans="1:7" x14ac:dyDescent="0.25">
      <c r="A15">
        <v>2012</v>
      </c>
      <c r="B15" t="s">
        <v>48</v>
      </c>
      <c r="C15">
        <v>12</v>
      </c>
      <c r="D15">
        <v>10</v>
      </c>
      <c r="E15" t="s">
        <v>55</v>
      </c>
    </row>
    <row r="16" spans="1:7" x14ac:dyDescent="0.25">
      <c r="A16">
        <v>2013</v>
      </c>
      <c r="B16" t="s">
        <v>61</v>
      </c>
      <c r="C16">
        <v>1</v>
      </c>
      <c r="D16">
        <v>11</v>
      </c>
      <c r="E16" t="s">
        <v>55</v>
      </c>
    </row>
    <row r="17" spans="1:5" x14ac:dyDescent="0.25">
      <c r="A17">
        <v>2014</v>
      </c>
      <c r="B17" t="s">
        <v>45</v>
      </c>
      <c r="C17">
        <v>6</v>
      </c>
      <c r="D17">
        <v>12</v>
      </c>
      <c r="E17" t="s">
        <v>55</v>
      </c>
    </row>
    <row r="18" spans="1:5" x14ac:dyDescent="0.25">
      <c r="A18">
        <v>2015</v>
      </c>
      <c r="B18" t="s">
        <v>46</v>
      </c>
      <c r="C18">
        <v>8</v>
      </c>
      <c r="D18">
        <v>12</v>
      </c>
      <c r="E18" t="s">
        <v>55</v>
      </c>
    </row>
    <row r="19" spans="1:5" x14ac:dyDescent="0.25">
      <c r="A19">
        <v>2016</v>
      </c>
      <c r="B19" t="s">
        <v>47</v>
      </c>
      <c r="C19">
        <v>25</v>
      </c>
      <c r="D19">
        <v>12</v>
      </c>
      <c r="E19" t="s">
        <v>55</v>
      </c>
    </row>
    <row r="20" spans="1:5" x14ac:dyDescent="0.25">
      <c r="A20">
        <v>2017</v>
      </c>
    </row>
    <row r="21" spans="1:5" x14ac:dyDescent="0.25">
      <c r="A21">
        <v>2018</v>
      </c>
    </row>
    <row r="22" spans="1:5" x14ac:dyDescent="0.25">
      <c r="A22">
        <v>2019</v>
      </c>
    </row>
    <row r="23" spans="1:5" x14ac:dyDescent="0.25">
      <c r="A23">
        <v>2020</v>
      </c>
    </row>
    <row r="24" spans="1:5" x14ac:dyDescent="0.25">
      <c r="A24">
        <v>2021</v>
      </c>
    </row>
    <row r="25" spans="1:5" x14ac:dyDescent="0.25">
      <c r="A25">
        <v>2022</v>
      </c>
    </row>
    <row r="26" spans="1:5" x14ac:dyDescent="0.25">
      <c r="A26">
        <v>2023</v>
      </c>
    </row>
    <row r="27" spans="1:5" x14ac:dyDescent="0.25">
      <c r="A27">
        <v>2024</v>
      </c>
    </row>
    <row r="28" spans="1:5" x14ac:dyDescent="0.25">
      <c r="A28">
        <v>2025</v>
      </c>
    </row>
    <row r="29" spans="1:5" x14ac:dyDescent="0.25">
      <c r="A29">
        <v>2026</v>
      </c>
    </row>
    <row r="30" spans="1:5" x14ac:dyDescent="0.25">
      <c r="A30">
        <v>2027</v>
      </c>
    </row>
    <row r="31" spans="1:5" x14ac:dyDescent="0.25">
      <c r="A31">
        <v>2028</v>
      </c>
    </row>
    <row r="32" spans="1:5" x14ac:dyDescent="0.25">
      <c r="A32">
        <v>2029</v>
      </c>
    </row>
    <row r="33" spans="1:1" x14ac:dyDescent="0.25">
      <c r="A33">
        <v>2030</v>
      </c>
    </row>
    <row r="34" spans="1:1" x14ac:dyDescent="0.25">
      <c r="A34">
        <v>2031</v>
      </c>
    </row>
    <row r="35" spans="1:1" x14ac:dyDescent="0.25">
      <c r="A35">
        <v>2032</v>
      </c>
    </row>
    <row r="36" spans="1:1" x14ac:dyDescent="0.25">
      <c r="A36">
        <v>2033</v>
      </c>
    </row>
    <row r="37" spans="1:1" x14ac:dyDescent="0.25">
      <c r="A37">
        <v>2034</v>
      </c>
    </row>
    <row r="38" spans="1:1" x14ac:dyDescent="0.25">
      <c r="A38">
        <v>2035</v>
      </c>
    </row>
    <row r="39" spans="1:1" x14ac:dyDescent="0.25">
      <c r="A39">
        <v>2036</v>
      </c>
    </row>
    <row r="40" spans="1:1" x14ac:dyDescent="0.25">
      <c r="A40">
        <v>2037</v>
      </c>
    </row>
    <row r="41" spans="1:1" x14ac:dyDescent="0.25">
      <c r="A41">
        <v>2038</v>
      </c>
    </row>
    <row r="42" spans="1:1" x14ac:dyDescent="0.25">
      <c r="A42">
        <v>2039</v>
      </c>
    </row>
    <row r="43" spans="1:1" x14ac:dyDescent="0.25">
      <c r="A43">
        <v>2040</v>
      </c>
    </row>
    <row r="44" spans="1:1" x14ac:dyDescent="0.25">
      <c r="A44">
        <v>2041</v>
      </c>
    </row>
  </sheetData>
  <mergeCells count="1">
    <mergeCell ref="B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Año 2020</vt:lpstr>
      <vt:lpstr>PLANTILLA</vt:lpstr>
      <vt:lpstr>Data</vt:lpstr>
    </vt:vector>
  </TitlesOfParts>
  <Company>Everis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Pedro Cuenca Sevilla</dc:creator>
  <cp:lastModifiedBy>Juan Pedro Cuenca Sevilla</cp:lastModifiedBy>
  <dcterms:created xsi:type="dcterms:W3CDTF">2020-03-11T13:09:42Z</dcterms:created>
  <dcterms:modified xsi:type="dcterms:W3CDTF">2020-06-10T06:04:59Z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91b135e2-d48d-46a5-83a6-78bff19c8a32</vt:lpwstr>
  </property>
</Properties>
</file>