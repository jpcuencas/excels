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450" tabRatio="659"/>
  </bookViews>
  <sheets>
    <sheet name="Plantilla valoración" sheetId="4" r:id="rId1"/>
    <sheet name="DATA COMBOS" sheetId="7" state="hidden" r:id="rId2"/>
    <sheet name="estimaciones Nuevo" sheetId="1" state="hidden" r:id="rId3"/>
    <sheet name="estimaciones Modificación" sheetId="8" state="hidden" r:id="rId4"/>
  </sheets>
  <definedNames>
    <definedName name="_xlnm._FilterDatabase" localSheetId="3" hidden="1">'estimaciones Modificación'!$A$3:$P$351</definedName>
    <definedName name="_xlnm._FilterDatabase" localSheetId="2" hidden="1">'estimaciones Nuevo'!$A$3:$P$342</definedName>
    <definedName name="_xlnm._FilterDatabase" localSheetId="0" hidden="1">'Plantilla valoración'!#REF!</definedName>
    <definedName name="_Toc306037349" localSheetId="0">'Plantilla valoración'!#REF!</definedName>
    <definedName name="AMBITO">'DATA COMBOS'!$B$2:$B$5</definedName>
    <definedName name="CE">'DATA COMBOS'!$C$15</definedName>
    <definedName name="CEGeneral">'DATA COMBOS'!$D$47</definedName>
    <definedName name="COMPLEJIDAD">'DATA COMBOS'!$E$2:$E$4</definedName>
    <definedName name="CT">'DATA COMBOS'!$C$8:$C$11</definedName>
    <definedName name="CTAPI">'DATA COMBOS'!$D$29:$D$32</definedName>
    <definedName name="CTCore">'DATA COMBOS'!$D$21:$D$27</definedName>
    <definedName name="CTFrontal">'DATA COMBOS'!$D$34:$D$39</definedName>
    <definedName name="CTGeneral">'DATA COMBOS'!$D$41</definedName>
    <definedName name="DT">'DATA COMBOS'!$C$3:$C$6</definedName>
    <definedName name="DTAPI">'DATA COMBOS'!$D$14:$D$15</definedName>
    <definedName name="DTCore">'DATA COMBOS'!$D$3:$D$7</definedName>
    <definedName name="DTFrontal">'DATA COMBOS'!$D$9:$D$12</definedName>
    <definedName name="DTGeneral">'DATA COMBOS'!$D$18:$D$19</definedName>
    <definedName name="MD">'DATA COMBOS'!$C$13</definedName>
    <definedName name="MDDAO">'DATA COMBOS'!$D$43:$D$45</definedName>
    <definedName name="NUEVO_MODIF">'DATA COMBOS'!$A$2:$A$3</definedName>
  </definedNames>
  <calcPr calcId="152511"/>
</workbook>
</file>

<file path=xl/calcChain.xml><?xml version="1.0" encoding="utf-8"?>
<calcChain xmlns="http://schemas.openxmlformats.org/spreadsheetml/2006/main">
  <c r="G62" i="8" l="1"/>
  <c r="G61" i="8"/>
  <c r="L33" i="4" l="1"/>
  <c r="L34" i="4"/>
  <c r="G35" i="1" l="1"/>
  <c r="H31" i="8" l="1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31" i="1" l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A3" i="1" l="1"/>
  <c r="A3" i="8"/>
  <c r="G40" i="8" l="1"/>
  <c r="G63" i="8" l="1"/>
  <c r="G60" i="1" l="1"/>
  <c r="G59" i="1"/>
  <c r="G58" i="1"/>
  <c r="G66" i="8"/>
  <c r="G65" i="8"/>
  <c r="G64" i="8"/>
  <c r="G45" i="8"/>
  <c r="G44" i="8"/>
  <c r="G43" i="8"/>
  <c r="G54" i="8"/>
  <c r="G53" i="8"/>
  <c r="G52" i="8"/>
  <c r="G57" i="8"/>
  <c r="G56" i="8"/>
  <c r="G55" i="8"/>
  <c r="G51" i="8"/>
  <c r="G50" i="8"/>
  <c r="G49" i="8"/>
  <c r="G48" i="8"/>
  <c r="G47" i="8"/>
  <c r="G46" i="8"/>
  <c r="G42" i="8"/>
  <c r="G41" i="8"/>
  <c r="G39" i="8"/>
  <c r="G38" i="8"/>
  <c r="G37" i="8"/>
  <c r="G36" i="8"/>
  <c r="G35" i="8"/>
  <c r="G34" i="8"/>
  <c r="G33" i="8"/>
  <c r="G32" i="8"/>
  <c r="G31" i="8"/>
  <c r="G39" i="1"/>
  <c r="G38" i="1"/>
  <c r="G37" i="1"/>
  <c r="G36" i="1"/>
  <c r="G34" i="1"/>
  <c r="G45" i="1"/>
  <c r="G44" i="1"/>
  <c r="G43" i="1"/>
  <c r="G42" i="1"/>
  <c r="G41" i="1"/>
  <c r="G40" i="1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G339" i="8"/>
  <c r="H338" i="8"/>
  <c r="G338" i="8"/>
  <c r="H337" i="8"/>
  <c r="G337" i="8"/>
  <c r="H336" i="8"/>
  <c r="G336" i="8"/>
  <c r="H335" i="8"/>
  <c r="G335" i="8"/>
  <c r="H334" i="8"/>
  <c r="G334" i="8"/>
  <c r="H333" i="8"/>
  <c r="G333" i="8"/>
  <c r="H332" i="8"/>
  <c r="G332" i="8"/>
  <c r="H331" i="8"/>
  <c r="G331" i="8"/>
  <c r="H330" i="8"/>
  <c r="G330" i="8"/>
  <c r="H329" i="8"/>
  <c r="G329" i="8"/>
  <c r="H328" i="8"/>
  <c r="G328" i="8"/>
  <c r="H327" i="8"/>
  <c r="G327" i="8"/>
  <c r="H326" i="8"/>
  <c r="G326" i="8"/>
  <c r="H325" i="8"/>
  <c r="G325" i="8"/>
  <c r="H324" i="8"/>
  <c r="G324" i="8"/>
  <c r="H323" i="8"/>
  <c r="G323" i="8"/>
  <c r="H322" i="8"/>
  <c r="G322" i="8"/>
  <c r="H321" i="8"/>
  <c r="G321" i="8"/>
  <c r="H320" i="8"/>
  <c r="G320" i="8"/>
  <c r="H319" i="8"/>
  <c r="G319" i="8"/>
  <c r="H318" i="8"/>
  <c r="G318" i="8"/>
  <c r="H317" i="8"/>
  <c r="G317" i="8"/>
  <c r="H316" i="8"/>
  <c r="G316" i="8"/>
  <c r="H315" i="8"/>
  <c r="G315" i="8"/>
  <c r="H314" i="8"/>
  <c r="G314" i="8"/>
  <c r="H313" i="8"/>
  <c r="G313" i="8"/>
  <c r="H312" i="8"/>
  <c r="G312" i="8"/>
  <c r="H311" i="8"/>
  <c r="G311" i="8"/>
  <c r="H310" i="8"/>
  <c r="G310" i="8"/>
  <c r="H309" i="8"/>
  <c r="G309" i="8"/>
  <c r="H308" i="8"/>
  <c r="G308" i="8"/>
  <c r="H307" i="8"/>
  <c r="G307" i="8"/>
  <c r="H306" i="8"/>
  <c r="G306" i="8"/>
  <c r="H305" i="8"/>
  <c r="G305" i="8"/>
  <c r="H304" i="8"/>
  <c r="G304" i="8"/>
  <c r="H303" i="8"/>
  <c r="G303" i="8"/>
  <c r="H302" i="8"/>
  <c r="G302" i="8"/>
  <c r="H301" i="8"/>
  <c r="G301" i="8"/>
  <c r="H300" i="8"/>
  <c r="G300" i="8"/>
  <c r="H299" i="8"/>
  <c r="G299" i="8"/>
  <c r="H298" i="8"/>
  <c r="G298" i="8"/>
  <c r="H297" i="8"/>
  <c r="G297" i="8"/>
  <c r="H296" i="8"/>
  <c r="G296" i="8"/>
  <c r="H295" i="8"/>
  <c r="G295" i="8"/>
  <c r="H294" i="8"/>
  <c r="G294" i="8"/>
  <c r="H293" i="8"/>
  <c r="G293" i="8"/>
  <c r="H292" i="8"/>
  <c r="G292" i="8"/>
  <c r="H291" i="8"/>
  <c r="G291" i="8"/>
  <c r="H290" i="8"/>
  <c r="G290" i="8"/>
  <c r="H289" i="8"/>
  <c r="G289" i="8"/>
  <c r="H288" i="8"/>
  <c r="G288" i="8"/>
  <c r="H287" i="8"/>
  <c r="G287" i="8"/>
  <c r="H286" i="8"/>
  <c r="G286" i="8"/>
  <c r="H285" i="8"/>
  <c r="G285" i="8"/>
  <c r="H284" i="8"/>
  <c r="G284" i="8"/>
  <c r="H283" i="8"/>
  <c r="G283" i="8"/>
  <c r="H282" i="8"/>
  <c r="G282" i="8"/>
  <c r="H281" i="8"/>
  <c r="G281" i="8"/>
  <c r="H280" i="8"/>
  <c r="G280" i="8"/>
  <c r="H279" i="8"/>
  <c r="G279" i="8"/>
  <c r="H278" i="8"/>
  <c r="G278" i="8"/>
  <c r="H277" i="8"/>
  <c r="G277" i="8"/>
  <c r="H276" i="8"/>
  <c r="G276" i="8"/>
  <c r="H275" i="8"/>
  <c r="G275" i="8"/>
  <c r="H274" i="8"/>
  <c r="G274" i="8"/>
  <c r="H273" i="8"/>
  <c r="G273" i="8"/>
  <c r="H272" i="8"/>
  <c r="G272" i="8"/>
  <c r="H271" i="8"/>
  <c r="G271" i="8"/>
  <c r="H270" i="8"/>
  <c r="G270" i="8"/>
  <c r="H269" i="8"/>
  <c r="G269" i="8"/>
  <c r="H268" i="8"/>
  <c r="G268" i="8"/>
  <c r="H267" i="8"/>
  <c r="G267" i="8"/>
  <c r="H266" i="8"/>
  <c r="G266" i="8"/>
  <c r="H265" i="8"/>
  <c r="G265" i="8"/>
  <c r="H264" i="8"/>
  <c r="G264" i="8"/>
  <c r="H263" i="8"/>
  <c r="G263" i="8"/>
  <c r="H262" i="8"/>
  <c r="G262" i="8"/>
  <c r="H261" i="8"/>
  <c r="G261" i="8"/>
  <c r="H260" i="8"/>
  <c r="G260" i="8"/>
  <c r="H259" i="8"/>
  <c r="G259" i="8"/>
  <c r="H258" i="8"/>
  <c r="G258" i="8"/>
  <c r="H257" i="8"/>
  <c r="G257" i="8"/>
  <c r="H256" i="8"/>
  <c r="G256" i="8"/>
  <c r="H255" i="8"/>
  <c r="G255" i="8"/>
  <c r="H254" i="8"/>
  <c r="G254" i="8"/>
  <c r="H253" i="8"/>
  <c r="G253" i="8"/>
  <c r="H252" i="8"/>
  <c r="G252" i="8"/>
  <c r="H251" i="8"/>
  <c r="G251" i="8"/>
  <c r="H250" i="8"/>
  <c r="G250" i="8"/>
  <c r="H249" i="8"/>
  <c r="G249" i="8"/>
  <c r="H248" i="8"/>
  <c r="G248" i="8"/>
  <c r="H247" i="8"/>
  <c r="G247" i="8"/>
  <c r="H246" i="8"/>
  <c r="G246" i="8"/>
  <c r="H245" i="8"/>
  <c r="G245" i="8"/>
  <c r="H244" i="8"/>
  <c r="G244" i="8"/>
  <c r="H243" i="8"/>
  <c r="G243" i="8"/>
  <c r="H242" i="8"/>
  <c r="G242" i="8"/>
  <c r="H241" i="8"/>
  <c r="G241" i="8"/>
  <c r="H240" i="8"/>
  <c r="G240" i="8"/>
  <c r="H239" i="8"/>
  <c r="G239" i="8"/>
  <c r="H238" i="8"/>
  <c r="G238" i="8"/>
  <c r="H237" i="8"/>
  <c r="G237" i="8"/>
  <c r="H236" i="8"/>
  <c r="G236" i="8"/>
  <c r="H235" i="8"/>
  <c r="G235" i="8"/>
  <c r="H234" i="8"/>
  <c r="G234" i="8"/>
  <c r="H233" i="8"/>
  <c r="G233" i="8"/>
  <c r="H232" i="8"/>
  <c r="G232" i="8"/>
  <c r="H231" i="8"/>
  <c r="G231" i="8"/>
  <c r="H230" i="8"/>
  <c r="G230" i="8"/>
  <c r="H229" i="8"/>
  <c r="G229" i="8"/>
  <c r="H228" i="8"/>
  <c r="G228" i="8"/>
  <c r="H227" i="8"/>
  <c r="G227" i="8"/>
  <c r="H226" i="8"/>
  <c r="G226" i="8"/>
  <c r="H225" i="8"/>
  <c r="G225" i="8"/>
  <c r="H224" i="8"/>
  <c r="G224" i="8"/>
  <c r="H223" i="8"/>
  <c r="G223" i="8"/>
  <c r="H222" i="8"/>
  <c r="G222" i="8"/>
  <c r="H221" i="8"/>
  <c r="G221" i="8"/>
  <c r="H220" i="8"/>
  <c r="G220" i="8"/>
  <c r="H219" i="8"/>
  <c r="G219" i="8"/>
  <c r="H218" i="8"/>
  <c r="G218" i="8"/>
  <c r="H217" i="8"/>
  <c r="G217" i="8"/>
  <c r="H216" i="8"/>
  <c r="G216" i="8"/>
  <c r="H215" i="8"/>
  <c r="G215" i="8"/>
  <c r="H214" i="8"/>
  <c r="G214" i="8"/>
  <c r="H213" i="8"/>
  <c r="G213" i="8"/>
  <c r="H212" i="8"/>
  <c r="G212" i="8"/>
  <c r="H211" i="8"/>
  <c r="G211" i="8"/>
  <c r="H210" i="8"/>
  <c r="G210" i="8"/>
  <c r="H209" i="8"/>
  <c r="G209" i="8"/>
  <c r="H208" i="8"/>
  <c r="G208" i="8"/>
  <c r="H207" i="8"/>
  <c r="G207" i="8"/>
  <c r="H206" i="8"/>
  <c r="G206" i="8"/>
  <c r="H205" i="8"/>
  <c r="G205" i="8"/>
  <c r="H204" i="8"/>
  <c r="G204" i="8"/>
  <c r="H203" i="8"/>
  <c r="G203" i="8"/>
  <c r="H202" i="8"/>
  <c r="G202" i="8"/>
  <c r="H201" i="8"/>
  <c r="G201" i="8"/>
  <c r="H200" i="8"/>
  <c r="G200" i="8"/>
  <c r="H199" i="8"/>
  <c r="G199" i="8"/>
  <c r="H198" i="8"/>
  <c r="G198" i="8"/>
  <c r="H197" i="8"/>
  <c r="G197" i="8"/>
  <c r="H196" i="8"/>
  <c r="G196" i="8"/>
  <c r="H195" i="8"/>
  <c r="G195" i="8"/>
  <c r="H194" i="8"/>
  <c r="G194" i="8"/>
  <c r="H193" i="8"/>
  <c r="G193" i="8"/>
  <c r="H192" i="8"/>
  <c r="G192" i="8"/>
  <c r="H191" i="8"/>
  <c r="G191" i="8"/>
  <c r="H190" i="8"/>
  <c r="G190" i="8"/>
  <c r="H189" i="8"/>
  <c r="G189" i="8"/>
  <c r="H188" i="8"/>
  <c r="G188" i="8"/>
  <c r="H187" i="8"/>
  <c r="G187" i="8"/>
  <c r="H186" i="8"/>
  <c r="G186" i="8"/>
  <c r="H185" i="8"/>
  <c r="G185" i="8"/>
  <c r="H184" i="8"/>
  <c r="G184" i="8"/>
  <c r="H183" i="8"/>
  <c r="G183" i="8"/>
  <c r="H182" i="8"/>
  <c r="G182" i="8"/>
  <c r="H181" i="8"/>
  <c r="G181" i="8"/>
  <c r="H180" i="8"/>
  <c r="G180" i="8"/>
  <c r="H179" i="8"/>
  <c r="G179" i="8"/>
  <c r="H178" i="8"/>
  <c r="G178" i="8"/>
  <c r="H177" i="8"/>
  <c r="G177" i="8"/>
  <c r="H176" i="8"/>
  <c r="G176" i="8"/>
  <c r="H175" i="8"/>
  <c r="G175" i="8"/>
  <c r="H174" i="8"/>
  <c r="G174" i="8"/>
  <c r="H173" i="8"/>
  <c r="G173" i="8"/>
  <c r="H172" i="8"/>
  <c r="G172" i="8"/>
  <c r="H171" i="8"/>
  <c r="G171" i="8"/>
  <c r="H170" i="8"/>
  <c r="G170" i="8"/>
  <c r="H169" i="8"/>
  <c r="G169" i="8"/>
  <c r="H168" i="8"/>
  <c r="G168" i="8"/>
  <c r="H167" i="8"/>
  <c r="G167" i="8"/>
  <c r="H166" i="8"/>
  <c r="G166" i="8"/>
  <c r="H165" i="8"/>
  <c r="G165" i="8"/>
  <c r="H164" i="8"/>
  <c r="G164" i="8"/>
  <c r="H163" i="8"/>
  <c r="G163" i="8"/>
  <c r="H162" i="8"/>
  <c r="G162" i="8"/>
  <c r="H161" i="8"/>
  <c r="G161" i="8"/>
  <c r="H160" i="8"/>
  <c r="G160" i="8"/>
  <c r="H159" i="8"/>
  <c r="G159" i="8"/>
  <c r="H158" i="8"/>
  <c r="G158" i="8"/>
  <c r="H157" i="8"/>
  <c r="G157" i="8"/>
  <c r="H156" i="8"/>
  <c r="G156" i="8"/>
  <c r="H155" i="8"/>
  <c r="G155" i="8"/>
  <c r="H154" i="8"/>
  <c r="G154" i="8"/>
  <c r="H153" i="8"/>
  <c r="G153" i="8"/>
  <c r="H152" i="8"/>
  <c r="G152" i="8"/>
  <c r="H151" i="8"/>
  <c r="G151" i="8"/>
  <c r="H150" i="8"/>
  <c r="G150" i="8"/>
  <c r="H149" i="8"/>
  <c r="G149" i="8"/>
  <c r="H148" i="8"/>
  <c r="G148" i="8"/>
  <c r="H147" i="8"/>
  <c r="G147" i="8"/>
  <c r="H146" i="8"/>
  <c r="G146" i="8"/>
  <c r="H145" i="8"/>
  <c r="G145" i="8"/>
  <c r="H144" i="8"/>
  <c r="G144" i="8"/>
  <c r="H143" i="8"/>
  <c r="G143" i="8"/>
  <c r="H142" i="8"/>
  <c r="G142" i="8"/>
  <c r="H141" i="8"/>
  <c r="G141" i="8"/>
  <c r="H140" i="8"/>
  <c r="G140" i="8"/>
  <c r="H139" i="8"/>
  <c r="G139" i="8"/>
  <c r="H138" i="8"/>
  <c r="G138" i="8"/>
  <c r="H137" i="8"/>
  <c r="G137" i="8"/>
  <c r="H136" i="8"/>
  <c r="G136" i="8"/>
  <c r="H135" i="8"/>
  <c r="G135" i="8"/>
  <c r="H134" i="8"/>
  <c r="G134" i="8"/>
  <c r="H133" i="8"/>
  <c r="G133" i="8"/>
  <c r="H132" i="8"/>
  <c r="G132" i="8"/>
  <c r="H131" i="8"/>
  <c r="G131" i="8"/>
  <c r="H130" i="8"/>
  <c r="G130" i="8"/>
  <c r="H129" i="8"/>
  <c r="G129" i="8"/>
  <c r="H128" i="8"/>
  <c r="G128" i="8"/>
  <c r="H127" i="8"/>
  <c r="G127" i="8"/>
  <c r="H126" i="8"/>
  <c r="G126" i="8"/>
  <c r="H125" i="8"/>
  <c r="G125" i="8"/>
  <c r="H124" i="8"/>
  <c r="G124" i="8"/>
  <c r="H123" i="8"/>
  <c r="G123" i="8"/>
  <c r="H122" i="8"/>
  <c r="G122" i="8"/>
  <c r="H121" i="8"/>
  <c r="G121" i="8"/>
  <c r="H120" i="8"/>
  <c r="G120" i="8"/>
  <c r="H119" i="8"/>
  <c r="G119" i="8"/>
  <c r="H118" i="8"/>
  <c r="G118" i="8"/>
  <c r="H117" i="8"/>
  <c r="G117" i="8"/>
  <c r="H116" i="8"/>
  <c r="G116" i="8"/>
  <c r="H115" i="8"/>
  <c r="G115" i="8"/>
  <c r="H114" i="8"/>
  <c r="G114" i="8"/>
  <c r="H113" i="8"/>
  <c r="G113" i="8"/>
  <c r="H112" i="8"/>
  <c r="G112" i="8"/>
  <c r="H111" i="8"/>
  <c r="G111" i="8"/>
  <c r="H110" i="8"/>
  <c r="G110" i="8"/>
  <c r="H109" i="8"/>
  <c r="G109" i="8"/>
  <c r="H108" i="8"/>
  <c r="G108" i="8"/>
  <c r="H107" i="8"/>
  <c r="G107" i="8"/>
  <c r="H106" i="8"/>
  <c r="G106" i="8"/>
  <c r="H105" i="8"/>
  <c r="G105" i="8"/>
  <c r="H104" i="8"/>
  <c r="G104" i="8"/>
  <c r="H103" i="8"/>
  <c r="G103" i="8"/>
  <c r="H102" i="8"/>
  <c r="G102" i="8"/>
  <c r="H101" i="8"/>
  <c r="G101" i="8"/>
  <c r="H100" i="8"/>
  <c r="G100" i="8"/>
  <c r="H99" i="8"/>
  <c r="G99" i="8"/>
  <c r="H98" i="8"/>
  <c r="G98" i="8"/>
  <c r="H97" i="8"/>
  <c r="G97" i="8"/>
  <c r="H96" i="8"/>
  <c r="G96" i="8"/>
  <c r="H95" i="8"/>
  <c r="G95" i="8"/>
  <c r="H94" i="8"/>
  <c r="G94" i="8"/>
  <c r="H93" i="8"/>
  <c r="G93" i="8"/>
  <c r="H92" i="8"/>
  <c r="G92" i="8"/>
  <c r="H91" i="8"/>
  <c r="G91" i="8"/>
  <c r="H90" i="8"/>
  <c r="G90" i="8"/>
  <c r="H89" i="8"/>
  <c r="G89" i="8"/>
  <c r="H88" i="8"/>
  <c r="G88" i="8"/>
  <c r="H87" i="8"/>
  <c r="G87" i="8"/>
  <c r="H86" i="8"/>
  <c r="G86" i="8"/>
  <c r="H85" i="8"/>
  <c r="G85" i="8"/>
  <c r="H84" i="8"/>
  <c r="G84" i="8"/>
  <c r="H83" i="8"/>
  <c r="G83" i="8"/>
  <c r="H82" i="8"/>
  <c r="G82" i="8"/>
  <c r="H81" i="8"/>
  <c r="G81" i="8"/>
  <c r="H80" i="8"/>
  <c r="G80" i="8"/>
  <c r="H79" i="8"/>
  <c r="G79" i="8"/>
  <c r="H78" i="8"/>
  <c r="G78" i="8"/>
  <c r="H77" i="8"/>
  <c r="G77" i="8"/>
  <c r="H76" i="8"/>
  <c r="G76" i="8"/>
  <c r="G75" i="8"/>
  <c r="G74" i="8"/>
  <c r="G73" i="8"/>
  <c r="G72" i="8"/>
  <c r="G71" i="8"/>
  <c r="G70" i="8"/>
  <c r="G69" i="8"/>
  <c r="G68" i="8"/>
  <c r="G67" i="8"/>
  <c r="G60" i="8"/>
  <c r="G59" i="8"/>
  <c r="G58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H19" i="8"/>
  <c r="G19" i="8"/>
  <c r="H18" i="8"/>
  <c r="G18" i="8"/>
  <c r="H17" i="8"/>
  <c r="G17" i="8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O21" i="4"/>
  <c r="P21" i="4" l="1"/>
  <c r="G51" i="1"/>
  <c r="G50" i="1"/>
  <c r="G49" i="1"/>
  <c r="G81" i="1" l="1"/>
  <c r="G80" i="1"/>
  <c r="G79" i="1"/>
  <c r="G78" i="1"/>
  <c r="G77" i="1"/>
  <c r="G76" i="1"/>
  <c r="G75" i="1"/>
  <c r="G74" i="1"/>
  <c r="G73" i="1"/>
  <c r="G72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G63" i="1"/>
  <c r="G62" i="1"/>
  <c r="G61" i="1"/>
  <c r="G57" i="1"/>
  <c r="G56" i="1"/>
  <c r="G55" i="1"/>
  <c r="G54" i="1"/>
  <c r="G53" i="1"/>
  <c r="G52" i="1"/>
  <c r="G48" i="1"/>
  <c r="G47" i="1"/>
  <c r="G46" i="1"/>
  <c r="G33" i="1"/>
  <c r="G32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G7" i="1"/>
  <c r="G8" i="1"/>
  <c r="G9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H9" i="1"/>
  <c r="H8" i="1"/>
  <c r="H7" i="1"/>
  <c r="H6" i="1"/>
  <c r="G6" i="1"/>
  <c r="H5" i="1"/>
  <c r="G5" i="1"/>
  <c r="H4" i="1"/>
  <c r="G4" i="1"/>
  <c r="O22" i="4"/>
  <c r="O23" i="4"/>
  <c r="O20" i="4"/>
  <c r="P23" i="4" l="1"/>
  <c r="P22" i="4"/>
  <c r="P20" i="4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L35" i="4" l="1"/>
  <c r="L36" i="4" l="1"/>
  <c r="L37" i="4"/>
  <c r="P26" i="4" l="1"/>
  <c r="P37" i="4" l="1"/>
  <c r="P36" i="4"/>
  <c r="P34" i="4"/>
  <c r="P33" i="4" l="1"/>
  <c r="P39" i="4" s="1"/>
  <c r="M9" i="4" s="1"/>
  <c r="P44" i="4" l="1"/>
</calcChain>
</file>

<file path=xl/sharedStrings.xml><?xml version="1.0" encoding="utf-8"?>
<sst xmlns="http://schemas.openxmlformats.org/spreadsheetml/2006/main" count="1270" uniqueCount="108">
  <si>
    <t>Complejidad</t>
  </si>
  <si>
    <t>Valoración de los desarrollos</t>
  </si>
  <si>
    <t>Nuevo / Modif.</t>
  </si>
  <si>
    <t>Fecha de valoración:</t>
  </si>
  <si>
    <t>Descripción del componente afectado</t>
  </si>
  <si>
    <t>Porcentaje</t>
  </si>
  <si>
    <t>Subtotal</t>
  </si>
  <si>
    <t>Total</t>
  </si>
  <si>
    <t>Días</t>
  </si>
  <si>
    <t>Horas</t>
  </si>
  <si>
    <t>Valoración:</t>
  </si>
  <si>
    <t>Incremento por impacto modelo de datos</t>
  </si>
  <si>
    <t>Sí/No</t>
  </si>
  <si>
    <t>%</t>
  </si>
  <si>
    <t>Factor corrector complejidad pruebas y análisis</t>
  </si>
  <si>
    <t>Gestión, seguimiento y control</t>
  </si>
  <si>
    <t xml:space="preserve"> </t>
  </si>
  <si>
    <t>PREMISAS / OBSERVACIONES</t>
  </si>
  <si>
    <t>ÁMBITO</t>
  </si>
  <si>
    <t>Descripción del Cambio:</t>
  </si>
  <si>
    <t>Identificador del Cambio:</t>
  </si>
  <si>
    <t>Valoración Cambio Alcance</t>
  </si>
  <si>
    <t>CAPA</t>
  </si>
  <si>
    <t>DT</t>
  </si>
  <si>
    <t>CT</t>
  </si>
  <si>
    <t>TAREA</t>
  </si>
  <si>
    <t>Nº</t>
  </si>
  <si>
    <t>Pruebas Unitarias</t>
  </si>
  <si>
    <t>CONCAT</t>
  </si>
  <si>
    <t>Pruebas Camino Crítico IC</t>
  </si>
  <si>
    <t>Componente</t>
  </si>
  <si>
    <t>UTES</t>
  </si>
  <si>
    <t>FACTOR:</t>
  </si>
  <si>
    <t>MD</t>
  </si>
  <si>
    <t>Análisis</t>
  </si>
  <si>
    <t>No</t>
  </si>
  <si>
    <t>Insertar nuevas líneas por encima de aquí (copiando y pegando de una en una) ...</t>
  </si>
  <si>
    <t>Core</t>
  </si>
  <si>
    <t>Frontal</t>
  </si>
  <si>
    <t>General</t>
  </si>
  <si>
    <t>Nuevo</t>
  </si>
  <si>
    <t>Modificación</t>
  </si>
  <si>
    <t>Alta</t>
  </si>
  <si>
    <t>Media</t>
  </si>
  <si>
    <t>Baja</t>
  </si>
  <si>
    <t>DTCore</t>
  </si>
  <si>
    <t>DTFrontal</t>
  </si>
  <si>
    <t>DTGeneral</t>
  </si>
  <si>
    <t>CTCore</t>
  </si>
  <si>
    <t>CTFrontal</t>
  </si>
  <si>
    <t>CTGeneral</t>
  </si>
  <si>
    <t>Documentación tarea</t>
  </si>
  <si>
    <t>Documentar la interfaz. No incluye los DTO, CEDO ni los diagramas de secuencia</t>
  </si>
  <si>
    <t>Toda la documentación de cada una de las operaciones: DTO, CEDO, diagramas de secuencia… La dificultad de la operación vendrá dada por el número de campos y por el número de operaciones del CON y EAO que se llame</t>
  </si>
  <si>
    <t>Realizar el diagrama de componentes de Core. La dificultad vendrá determinada por la cantidad de componentes</t>
  </si>
  <si>
    <t>Pruebas Integradas</t>
  </si>
  <si>
    <t>Servicio</t>
  </si>
  <si>
    <t>DAO</t>
  </si>
  <si>
    <t>JS</t>
  </si>
  <si>
    <t>Controlador</t>
  </si>
  <si>
    <t>HTML</t>
  </si>
  <si>
    <t>DTO</t>
  </si>
  <si>
    <t>API</t>
  </si>
  <si>
    <t>Documentar Api</t>
  </si>
  <si>
    <t>Valoración (h)</t>
  </si>
  <si>
    <t>BO</t>
  </si>
  <si>
    <t>JASPER</t>
  </si>
  <si>
    <t>POI</t>
  </si>
  <si>
    <t>Modificación / Modif.</t>
  </si>
  <si>
    <t>JUNIT</t>
  </si>
  <si>
    <t>CE</t>
  </si>
  <si>
    <t>Diseño Tecnico</t>
  </si>
  <si>
    <t>Modelo Datos</t>
  </si>
  <si>
    <t>Cambiar modelo datos</t>
  </si>
  <si>
    <t>Analisis y planificacion  de modificaciones de la tarea</t>
  </si>
  <si>
    <t>Construcion</t>
  </si>
  <si>
    <t>Configuracion entorno</t>
  </si>
  <si>
    <t>Leyenda</t>
  </si>
  <si>
    <t>Configuracion Entorno</t>
  </si>
  <si>
    <t>Documentacion Funcional Pantalla</t>
  </si>
  <si>
    <t>Documentacion Funcional Servicio</t>
  </si>
  <si>
    <t>Documentacion Funcional Batch</t>
  </si>
  <si>
    <t>Analisis Funcional</t>
  </si>
  <si>
    <t>DTAPI</t>
  </si>
  <si>
    <t>Documentar</t>
  </si>
  <si>
    <t>CTAPI</t>
  </si>
  <si>
    <t>Analizar</t>
  </si>
  <si>
    <t>Analizar Api</t>
  </si>
  <si>
    <t>JUNIT Api</t>
  </si>
  <si>
    <t>JUNIT Controller</t>
  </si>
  <si>
    <t>JUNIT JS</t>
  </si>
  <si>
    <t>MDDAO</t>
  </si>
  <si>
    <t>Toma Requerimientos</t>
  </si>
  <si>
    <t>Espera Implementacion</t>
  </si>
  <si>
    <t>--------------------------------------------------------- Desarrollo SOLTEC ---------------------------------------------------------</t>
  </si>
  <si>
    <t>CEGeneral</t>
  </si>
  <si>
    <t>Documentacion codigo</t>
  </si>
  <si>
    <t>Refactor codigo</t>
  </si>
  <si>
    <t>Documentacion Funcional API</t>
  </si>
  <si>
    <t>Servicio API</t>
  </si>
  <si>
    <t>Operar Base Datos</t>
  </si>
  <si>
    <t>Ambito</t>
  </si>
  <si>
    <t>Capas</t>
  </si>
  <si>
    <t>Operaciones</t>
  </si>
  <si>
    <t xml:space="preserve">estimaciones </t>
  </si>
  <si>
    <t>Sí</t>
  </si>
  <si>
    <t>Analisis Codigo Anterior</t>
  </si>
  <si>
    <t>Documentacion codigo (Javadoc)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</si>
</sst>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rgb="FFBD2534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rgb="FFBD2534"/>
      </left>
      <right style="thin">
        <color rgb="FFBD2534"/>
      </right>
      <top style="thin">
        <color rgb="FFBD2534"/>
      </top>
      <bottom style="thin">
        <color rgb="FFBD2534"/>
      </bottom>
      <diagonal/>
    </border>
    <border>
      <left style="thin">
        <color rgb="FFBD2534"/>
      </left>
      <right/>
      <top style="thin">
        <color rgb="FFBD2534"/>
      </top>
      <bottom/>
      <diagonal/>
    </border>
    <border>
      <left/>
      <right/>
      <top style="thin">
        <color rgb="FFBD2534"/>
      </top>
      <bottom/>
      <diagonal/>
    </border>
    <border>
      <left/>
      <right style="thin">
        <color rgb="FFBD2534"/>
      </right>
      <top style="thin">
        <color rgb="FFBD2534"/>
      </top>
      <bottom/>
      <diagonal/>
    </border>
    <border>
      <left style="thin">
        <color rgb="FFBD2534"/>
      </left>
      <right/>
      <top/>
      <bottom/>
      <diagonal/>
    </border>
    <border>
      <left/>
      <right style="thin">
        <color rgb="FFBD2534"/>
      </right>
      <top/>
      <bottom/>
      <diagonal/>
    </border>
    <border>
      <left style="thin">
        <color rgb="FFBD2534"/>
      </left>
      <right/>
      <top/>
      <bottom style="thin">
        <color rgb="FFBD2534"/>
      </bottom>
      <diagonal/>
    </border>
    <border>
      <left/>
      <right/>
      <top/>
      <bottom style="thin">
        <color rgb="FFBD2534"/>
      </bottom>
      <diagonal/>
    </border>
    <border>
      <left/>
      <right style="thin">
        <color rgb="FFBD2534"/>
      </right>
      <top/>
      <bottom style="thin">
        <color rgb="FFBD253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2534"/>
      </left>
      <right/>
      <top style="thin">
        <color rgb="FFBD2534"/>
      </top>
      <bottom style="thin">
        <color rgb="FFBD2534"/>
      </bottom>
      <diagonal/>
    </border>
    <border>
      <left style="thin">
        <color rgb="FFBD2534"/>
      </left>
      <right style="thin">
        <color rgb="FFBD2534"/>
      </right>
      <top/>
      <bottom style="thin">
        <color rgb="FFBD253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D2534"/>
      </top>
      <bottom style="thin">
        <color rgb="FFBD253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BD2534"/>
      </top>
      <bottom style="thin">
        <color rgb="FFBD2534"/>
      </bottom>
      <diagonal/>
    </border>
    <border>
      <left style="thin">
        <color rgb="FFBD253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BD2534"/>
      </right>
      <top style="thin">
        <color indexed="64"/>
      </top>
      <bottom style="thin">
        <color indexed="64"/>
      </bottom>
      <diagonal/>
    </border>
    <border>
      <left style="thin">
        <color rgb="FFBD2534"/>
      </left>
      <right style="thin">
        <color rgb="FFBD253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7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0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 vertical="top"/>
    </xf>
    <xf numFmtId="0" fontId="0" fillId="4" borderId="0" xfId="0" applyFill="1" applyBorder="1"/>
    <xf numFmtId="0" fontId="4" fillId="4" borderId="0" xfId="0" applyFont="1" applyFill="1" applyBorder="1"/>
    <xf numFmtId="0" fontId="0" fillId="4" borderId="0" xfId="0" applyFill="1" applyBorder="1" applyAlignment="1">
      <alignment horizontal="center" vertical="top"/>
    </xf>
    <xf numFmtId="0" fontId="0" fillId="4" borderId="0" xfId="0" applyFill="1" applyAlignment="1">
      <alignment vertical="top"/>
    </xf>
    <xf numFmtId="0" fontId="4" fillId="4" borderId="0" xfId="0" applyFont="1" applyFill="1" applyBorder="1" applyAlignment="1">
      <alignment horizontal="right"/>
    </xf>
    <xf numFmtId="0" fontId="4" fillId="4" borderId="0" xfId="0" applyFont="1" applyFill="1"/>
    <xf numFmtId="43" fontId="4" fillId="4" borderId="0" xfId="1" applyFont="1" applyFill="1" applyBorder="1"/>
    <xf numFmtId="43" fontId="4" fillId="4" borderId="0" xfId="0" applyNumberFormat="1" applyFont="1" applyFill="1" applyBorder="1"/>
    <xf numFmtId="0" fontId="2" fillId="4" borderId="0" xfId="2" applyFont="1" applyFill="1" applyBorder="1" applyAlignment="1">
      <alignment horizontal="center" vertical="top"/>
    </xf>
    <xf numFmtId="0" fontId="0" fillId="4" borderId="0" xfId="0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4" borderId="0" xfId="0" applyFont="1" applyFill="1" applyBorder="1" applyAlignment="1"/>
    <xf numFmtId="0" fontId="4" fillId="4" borderId="0" xfId="0" applyFont="1" applyFill="1" applyBorder="1" applyAlignment="1">
      <alignment horizontal="left"/>
    </xf>
    <xf numFmtId="43" fontId="4" fillId="4" borderId="0" xfId="1" applyFont="1" applyFill="1" applyBorder="1" applyAlignment="1">
      <alignment horizontal="left"/>
    </xf>
    <xf numFmtId="43" fontId="0" fillId="4" borderId="0" xfId="0" applyNumberFormat="1" applyFill="1"/>
    <xf numFmtId="0" fontId="6" fillId="4" borderId="0" xfId="0" applyFont="1" applyFill="1" applyBorder="1"/>
    <xf numFmtId="0" fontId="6" fillId="4" borderId="0" xfId="0" applyFont="1" applyFill="1" applyBorder="1" applyAlignment="1">
      <alignment horizontal="left"/>
    </xf>
    <xf numFmtId="43" fontId="6" fillId="4" borderId="0" xfId="1" applyFont="1" applyFill="1" applyBorder="1" applyAlignment="1">
      <alignment horizontal="left"/>
    </xf>
    <xf numFmtId="0" fontId="4" fillId="4" borderId="2" xfId="0" applyFont="1" applyFill="1" applyBorder="1"/>
    <xf numFmtId="0" fontId="4" fillId="4" borderId="3" xfId="0" applyFont="1" applyFill="1" applyBorder="1"/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43" fontId="6" fillId="4" borderId="1" xfId="1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4" fillId="4" borderId="8" xfId="0" applyFont="1" applyFill="1" applyBorder="1"/>
    <xf numFmtId="0" fontId="0" fillId="4" borderId="9" xfId="0" applyFill="1" applyBorder="1"/>
    <xf numFmtId="9" fontId="4" fillId="4" borderId="0" xfId="0" applyNumberFormat="1" applyFont="1" applyFill="1" applyBorder="1" applyAlignment="1">
      <alignment horizontal="center"/>
    </xf>
    <xf numFmtId="0" fontId="2" fillId="4" borderId="5" xfId="2" applyFont="1" applyFill="1" applyBorder="1" applyAlignment="1"/>
    <xf numFmtId="0" fontId="2" fillId="4" borderId="6" xfId="2" applyFont="1" applyFill="1" applyBorder="1"/>
    <xf numFmtId="0" fontId="0" fillId="4" borderId="1" xfId="0" applyFill="1" applyBorder="1" applyAlignment="1">
      <alignment horizontal="center" vertical="top"/>
    </xf>
    <xf numFmtId="0" fontId="0" fillId="4" borderId="0" xfId="0" applyFill="1" applyAlignment="1">
      <alignment horizontal="left" vertical="top"/>
    </xf>
    <xf numFmtId="164" fontId="0" fillId="4" borderId="0" xfId="0" applyNumberFormat="1" applyFill="1" applyAlignment="1">
      <alignment horizontal="center" vertical="top"/>
    </xf>
    <xf numFmtId="43" fontId="6" fillId="4" borderId="1" xfId="1" applyNumberFormat="1" applyFont="1" applyFill="1" applyBorder="1"/>
    <xf numFmtId="0" fontId="5" fillId="4" borderId="0" xfId="2" applyFont="1" applyFill="1" applyBorder="1" applyAlignment="1">
      <alignment horizontal="left" vertical="top" wrapText="1"/>
    </xf>
    <xf numFmtId="43" fontId="0" fillId="4" borderId="0" xfId="0" applyNumberFormat="1" applyFill="1" applyAlignment="1">
      <alignment horizontal="center" vertical="top"/>
    </xf>
    <xf numFmtId="9" fontId="0" fillId="5" borderId="14" xfId="3" applyNumberFormat="1" applyFont="1" applyFill="1" applyBorder="1" applyAlignment="1">
      <alignment horizontal="center"/>
    </xf>
    <xf numFmtId="0" fontId="5" fillId="4" borderId="0" xfId="2" applyFont="1" applyFill="1" applyBorder="1" applyAlignment="1">
      <alignment horizontal="left" vertical="top" wrapText="1"/>
    </xf>
    <xf numFmtId="0" fontId="9" fillId="4" borderId="0" xfId="0" applyFont="1" applyFill="1"/>
    <xf numFmtId="0" fontId="10" fillId="4" borderId="0" xfId="0" applyFont="1" applyFill="1"/>
    <xf numFmtId="0" fontId="9" fillId="4" borderId="0" xfId="0" applyFont="1" applyFill="1" applyAlignment="1">
      <alignment horizontal="center"/>
    </xf>
    <xf numFmtId="0" fontId="11" fillId="4" borderId="0" xfId="0" applyFont="1" applyFill="1"/>
    <xf numFmtId="0" fontId="0" fillId="4" borderId="0" xfId="0" applyFill="1" applyAlignment="1">
      <alignment wrapText="1"/>
    </xf>
    <xf numFmtId="0" fontId="4" fillId="4" borderId="3" xfId="0" applyFont="1" applyFill="1" applyBorder="1" applyAlignment="1">
      <alignment wrapText="1"/>
    </xf>
    <xf numFmtId="0" fontId="4" fillId="4" borderId="0" xfId="0" applyFont="1" applyFill="1" applyBorder="1" applyAlignment="1">
      <alignment wrapText="1"/>
    </xf>
    <xf numFmtId="0" fontId="4" fillId="4" borderId="0" xfId="0" applyFont="1" applyFill="1" applyBorder="1" applyAlignment="1">
      <alignment horizontal="left" wrapText="1"/>
    </xf>
    <xf numFmtId="0" fontId="0" fillId="4" borderId="0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0" xfId="0" applyFill="1" applyBorder="1" applyAlignment="1">
      <alignment horizontal="center" wrapText="1"/>
    </xf>
    <xf numFmtId="0" fontId="4" fillId="4" borderId="0" xfId="0" applyFont="1" applyFill="1" applyBorder="1" applyAlignment="1">
      <alignment horizontal="right" wrapText="1"/>
    </xf>
    <xf numFmtId="0" fontId="9" fillId="4" borderId="0" xfId="0" applyFont="1" applyFill="1" applyAlignment="1">
      <alignment wrapText="1"/>
    </xf>
    <xf numFmtId="0" fontId="0" fillId="5" borderId="11" xfId="3" applyFont="1" applyFill="1" applyBorder="1" applyAlignment="1">
      <alignment horizontal="left" wrapText="1"/>
    </xf>
    <xf numFmtId="0" fontId="0" fillId="5" borderId="11" xfId="3" applyFont="1" applyFill="1" applyBorder="1" applyAlignment="1">
      <alignment horizontal="left"/>
    </xf>
    <xf numFmtId="0" fontId="0" fillId="4" borderId="12" xfId="0" applyFill="1" applyBorder="1" applyAlignment="1">
      <alignment horizontal="center" vertical="top"/>
    </xf>
    <xf numFmtId="0" fontId="0" fillId="4" borderId="12" xfId="0" applyFill="1" applyBorder="1" applyAlignment="1">
      <alignment horizontal="left" vertical="top"/>
    </xf>
    <xf numFmtId="0" fontId="5" fillId="4" borderId="0" xfId="2" applyFont="1" applyFill="1" applyBorder="1" applyAlignment="1">
      <alignment horizontal="left" vertical="top" wrapText="1"/>
    </xf>
    <xf numFmtId="14" fontId="0" fillId="5" borderId="1" xfId="3" applyNumberFormat="1" applyFont="1" applyFill="1" applyBorder="1" applyAlignment="1">
      <alignment horizontal="left" wrapText="1"/>
    </xf>
    <xf numFmtId="0" fontId="2" fillId="6" borderId="10" xfId="2" applyFont="1" applyFill="1" applyBorder="1" applyAlignment="1">
      <alignment horizontal="center" vertical="center"/>
    </xf>
    <xf numFmtId="0" fontId="2" fillId="6" borderId="10" xfId="2" applyFont="1" applyFill="1" applyBorder="1" applyAlignment="1">
      <alignment horizontal="center" vertical="center" wrapText="1"/>
    </xf>
    <xf numFmtId="0" fontId="2" fillId="6" borderId="1" xfId="2" applyFont="1" applyFill="1" applyBorder="1" applyAlignment="1">
      <alignment horizontal="center" vertical="center"/>
    </xf>
    <xf numFmtId="0" fontId="2" fillId="6" borderId="1" xfId="2" applyFont="1" applyFill="1" applyBorder="1" applyAlignment="1">
      <alignment horizontal="left" vertical="center"/>
    </xf>
    <xf numFmtId="0" fontId="2" fillId="6" borderId="22" xfId="2" applyFont="1" applyFill="1" applyBorder="1" applyAlignment="1">
      <alignment horizontal="center" vertical="center"/>
    </xf>
    <xf numFmtId="43" fontId="3" fillId="6" borderId="10" xfId="2" applyNumberFormat="1" applyFill="1" applyBorder="1"/>
    <xf numFmtId="0" fontId="2" fillId="6" borderId="10" xfId="2" quotePrefix="1" applyFont="1" applyFill="1" applyBorder="1" applyAlignment="1"/>
    <xf numFmtId="0" fontId="2" fillId="6" borderId="0" xfId="2" applyFont="1" applyFill="1" applyBorder="1" applyAlignment="1">
      <alignment horizontal="center" vertical="center"/>
    </xf>
    <xf numFmtId="9" fontId="3" fillId="6" borderId="16" xfId="3" applyNumberFormat="1" applyFont="1" applyFill="1" applyBorder="1" applyAlignment="1">
      <alignment horizontal="center"/>
    </xf>
    <xf numFmtId="0" fontId="2" fillId="6" borderId="16" xfId="2" applyFont="1" applyFill="1" applyBorder="1" applyAlignment="1">
      <alignment horizontal="center"/>
    </xf>
    <xf numFmtId="43" fontId="3" fillId="6" borderId="1" xfId="2" applyNumberFormat="1" applyFill="1" applyBorder="1"/>
    <xf numFmtId="0" fontId="2" fillId="6" borderId="1" xfId="2" applyFont="1" applyFill="1" applyBorder="1" applyAlignment="1">
      <alignment horizontal="center" vertical="top"/>
    </xf>
    <xf numFmtId="43" fontId="2" fillId="6" borderId="1" xfId="2" applyNumberFormat="1" applyFont="1" applyFill="1" applyBorder="1"/>
    <xf numFmtId="0" fontId="0" fillId="4" borderId="22" xfId="0" applyFill="1" applyBorder="1" applyAlignment="1">
      <alignment horizontal="left" vertical="top"/>
    </xf>
    <xf numFmtId="0" fontId="0" fillId="4" borderId="10" xfId="0" applyFill="1" applyBorder="1" applyAlignment="1">
      <alignment horizontal="left" vertical="top"/>
    </xf>
    <xf numFmtId="0" fontId="0" fillId="0" borderId="10" xfId="0" applyBorder="1"/>
    <xf numFmtId="0" fontId="12" fillId="4" borderId="10" xfId="0" applyFont="1" applyFill="1" applyBorder="1" applyAlignment="1">
      <alignment horizontal="left" vertical="top"/>
    </xf>
    <xf numFmtId="0" fontId="0" fillId="4" borderId="23" xfId="0" applyFill="1" applyBorder="1" applyAlignment="1">
      <alignment horizontal="left" vertical="top"/>
    </xf>
    <xf numFmtId="0" fontId="12" fillId="4" borderId="23" xfId="0" applyFont="1" applyFill="1" applyBorder="1" applyAlignment="1">
      <alignment horizontal="left" vertical="top"/>
    </xf>
    <xf numFmtId="0" fontId="0" fillId="4" borderId="23" xfId="0" applyFont="1" applyFill="1" applyBorder="1" applyAlignment="1">
      <alignment horizontal="left" vertical="top"/>
    </xf>
    <xf numFmtId="0" fontId="0" fillId="4" borderId="10" xfId="0" applyFont="1" applyFill="1" applyBorder="1" applyAlignment="1">
      <alignment horizontal="left" vertical="top"/>
    </xf>
    <xf numFmtId="0" fontId="0" fillId="4" borderId="10" xfId="0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43" fontId="13" fillId="4" borderId="0" xfId="0" applyNumberFormat="1" applyFont="1" applyFill="1" applyBorder="1" applyAlignment="1">
      <alignment horizontal="right"/>
    </xf>
    <xf numFmtId="0" fontId="12" fillId="7" borderId="10" xfId="0" applyFont="1" applyFill="1" applyBorder="1" applyAlignment="1">
      <alignment horizontal="left" vertical="top"/>
    </xf>
    <xf numFmtId="0" fontId="12" fillId="7" borderId="23" xfId="0" applyFont="1" applyFill="1" applyBorder="1" applyAlignment="1">
      <alignment horizontal="left" vertical="top"/>
    </xf>
    <xf numFmtId="0" fontId="0" fillId="4" borderId="24" xfId="0" applyFill="1" applyBorder="1" applyAlignment="1">
      <alignment horizontal="left" vertical="top"/>
    </xf>
    <xf numFmtId="0" fontId="0" fillId="4" borderId="25" xfId="0" applyFill="1" applyBorder="1" applyAlignment="1">
      <alignment horizontal="left" vertical="top"/>
    </xf>
    <xf numFmtId="0" fontId="12" fillId="7" borderId="25" xfId="0" applyFont="1" applyFill="1" applyBorder="1" applyAlignment="1">
      <alignment horizontal="left" vertical="top"/>
    </xf>
    <xf numFmtId="0" fontId="3" fillId="6" borderId="0" xfId="0" applyFont="1" applyFill="1" applyAlignment="1">
      <alignment horizontal="center"/>
    </xf>
    <xf numFmtId="0" fontId="3" fillId="6" borderId="0" xfId="2" applyFont="1" applyFill="1" applyBorder="1" applyAlignment="1">
      <alignment horizontal="center" vertical="top" wrapText="1"/>
    </xf>
    <xf numFmtId="0" fontId="0" fillId="4" borderId="10" xfId="0" applyFill="1" applyBorder="1" applyAlignment="1">
      <alignment wrapText="1"/>
    </xf>
    <xf numFmtId="0" fontId="3" fillId="6" borderId="0" xfId="0" applyFont="1" applyFill="1" applyAlignment="1">
      <alignment wrapText="1"/>
    </xf>
    <xf numFmtId="0" fontId="0" fillId="8" borderId="10" xfId="0" applyFill="1" applyBorder="1" applyAlignment="1">
      <alignment horizontal="center" vertical="top"/>
    </xf>
    <xf numFmtId="0" fontId="0" fillId="8" borderId="10" xfId="0" applyFill="1" applyBorder="1" applyAlignment="1">
      <alignment horizontal="left" vertical="top"/>
    </xf>
    <xf numFmtId="0" fontId="0" fillId="9" borderId="10" xfId="0" applyFill="1" applyBorder="1" applyAlignment="1">
      <alignment horizontal="center" vertical="top"/>
    </xf>
    <xf numFmtId="0" fontId="0" fillId="9" borderId="10" xfId="0" applyFill="1" applyBorder="1" applyAlignment="1">
      <alignment horizontal="left" vertical="top"/>
    </xf>
    <xf numFmtId="0" fontId="13" fillId="9" borderId="10" xfId="0" applyFont="1" applyFill="1" applyBorder="1" applyAlignment="1">
      <alignment horizontal="center" vertical="top"/>
    </xf>
    <xf numFmtId="0" fontId="0" fillId="0" borderId="10" xfId="0" applyFill="1" applyBorder="1" applyAlignment="1">
      <alignment horizontal="center" vertical="top"/>
    </xf>
    <xf numFmtId="0" fontId="0" fillId="5" borderId="20" xfId="3" applyFont="1" applyFill="1" applyBorder="1" applyAlignment="1">
      <alignment horizontal="left"/>
    </xf>
    <xf numFmtId="0" fontId="0" fillId="5" borderId="15" xfId="3" applyFont="1" applyFill="1" applyBorder="1" applyAlignment="1">
      <alignment horizontal="left"/>
    </xf>
    <xf numFmtId="0" fontId="0" fillId="5" borderId="21" xfId="3" applyFont="1" applyFill="1" applyBorder="1" applyAlignment="1">
      <alignment horizontal="left"/>
    </xf>
    <xf numFmtId="0" fontId="0" fillId="5" borderId="20" xfId="3" applyFont="1" applyFill="1" applyBorder="1" applyAlignment="1">
      <alignment horizontal="left"/>
    </xf>
    <xf numFmtId="0" fontId="0" fillId="5" borderId="15" xfId="3" applyFont="1" applyFill="1" applyBorder="1" applyAlignment="1">
      <alignment horizontal="left"/>
    </xf>
    <xf numFmtId="0" fontId="0" fillId="5" borderId="21" xfId="3" applyFont="1" applyFill="1" applyBorder="1" applyAlignment="1">
      <alignment horizontal="left"/>
    </xf>
    <xf numFmtId="0" fontId="2" fillId="6" borderId="1" xfId="2" applyFont="1" applyFill="1" applyBorder="1" applyAlignment="1">
      <alignment horizontal="right"/>
    </xf>
    <xf numFmtId="43" fontId="6" fillId="4" borderId="1" xfId="1" applyFont="1" applyFill="1" applyBorder="1" applyAlignment="1">
      <alignment horizontal="left"/>
    </xf>
    <xf numFmtId="9" fontId="2" fillId="6" borderId="1" xfId="2" applyNumberFormat="1" applyFont="1" applyFill="1" applyBorder="1" applyAlignment="1">
      <alignment horizontal="right"/>
    </xf>
    <xf numFmtId="0" fontId="2" fillId="6" borderId="16" xfId="2" applyFont="1" applyFill="1" applyBorder="1" applyAlignment="1">
      <alignment horizontal="center"/>
    </xf>
    <xf numFmtId="0" fontId="2" fillId="6" borderId="16" xfId="2" applyFont="1" applyFill="1" applyBorder="1" applyAlignment="1">
      <alignment horizontal="center" vertical="center"/>
    </xf>
    <xf numFmtId="0" fontId="14" fillId="4" borderId="0" xfId="2" applyFont="1" applyFill="1" applyBorder="1" applyAlignment="1">
      <alignment horizontal="left" vertical="top" wrapText="1"/>
    </xf>
    <xf numFmtId="0" fontId="2" fillId="6" borderId="10" xfId="2" applyFont="1" applyFill="1" applyBorder="1" applyAlignment="1">
      <alignment horizontal="right"/>
    </xf>
    <xf numFmtId="0" fontId="2" fillId="6" borderId="18" xfId="2" quotePrefix="1" applyFont="1" applyFill="1" applyBorder="1" applyAlignment="1">
      <alignment horizontal="center"/>
    </xf>
    <xf numFmtId="0" fontId="2" fillId="6" borderId="0" xfId="2" quotePrefix="1" applyFont="1" applyFill="1" applyBorder="1" applyAlignment="1">
      <alignment horizontal="center"/>
    </xf>
    <xf numFmtId="0" fontId="0" fillId="5" borderId="20" xfId="3" applyFont="1" applyFill="1" applyBorder="1" applyAlignment="1">
      <alignment horizontal="left"/>
    </xf>
    <xf numFmtId="0" fontId="0" fillId="5" borderId="15" xfId="3" applyFont="1" applyFill="1" applyBorder="1" applyAlignment="1">
      <alignment horizontal="left"/>
    </xf>
    <xf numFmtId="0" fontId="0" fillId="5" borderId="21" xfId="3" applyFont="1" applyFill="1" applyBorder="1" applyAlignment="1">
      <alignment horizontal="left"/>
    </xf>
    <xf numFmtId="0" fontId="3" fillId="6" borderId="0" xfId="0" applyFont="1" applyFill="1" applyAlignment="1">
      <alignment horizontal="center"/>
    </xf>
    <xf numFmtId="0" fontId="2" fillId="6" borderId="0" xfId="2" applyFont="1" applyFill="1" applyBorder="1" applyAlignment="1" applyProtection="1">
      <alignment horizontal="center"/>
    </xf>
    <xf numFmtId="0" fontId="2" fillId="6" borderId="17" xfId="2" applyFont="1" applyFill="1" applyBorder="1" applyAlignment="1">
      <alignment horizontal="center" vertical="center" wrapText="1"/>
    </xf>
    <xf numFmtId="0" fontId="2" fillId="6" borderId="15" xfId="2" applyFont="1" applyFill="1" applyBorder="1" applyAlignment="1">
      <alignment horizontal="center" vertical="center" wrapText="1"/>
    </xf>
    <xf numFmtId="0" fontId="2" fillId="6" borderId="13" xfId="2" applyFont="1" applyFill="1" applyBorder="1" applyAlignment="1">
      <alignment horizontal="center" vertical="center" wrapText="1"/>
    </xf>
    <xf numFmtId="0" fontId="5" fillId="4" borderId="0" xfId="2" applyFont="1" applyFill="1" applyBorder="1" applyAlignment="1">
      <alignment horizontal="left" vertical="top" wrapText="1"/>
    </xf>
    <xf numFmtId="0" fontId="0" fillId="5" borderId="11" xfId="3" quotePrefix="1" applyFont="1" applyFill="1" applyBorder="1" applyAlignment="1">
      <alignment horizontal="left"/>
    </xf>
    <xf numFmtId="0" fontId="0" fillId="5" borderId="14" xfId="3" quotePrefix="1" applyFont="1" applyFill="1" applyBorder="1" applyAlignment="1">
      <alignment horizontal="left"/>
    </xf>
    <xf numFmtId="0" fontId="0" fillId="5" borderId="19" xfId="3" quotePrefix="1" applyFont="1" applyFill="1" applyBorder="1" applyAlignment="1">
      <alignment horizontal="left"/>
    </xf>
    <xf numFmtId="0" fontId="2" fillId="6" borderId="17" xfId="2" applyFont="1" applyFill="1" applyBorder="1" applyAlignment="1">
      <alignment horizontal="center" vertical="top"/>
    </xf>
    <xf numFmtId="0" fontId="2" fillId="6" borderId="15" xfId="2" applyFont="1" applyFill="1" applyBorder="1" applyAlignment="1">
      <alignment horizontal="center" vertical="top"/>
    </xf>
    <xf numFmtId="0" fontId="2" fillId="6" borderId="13" xfId="2" applyFont="1" applyFill="1" applyBorder="1" applyAlignment="1">
      <alignment horizontal="center" vertical="top"/>
    </xf>
  </cellXfs>
  <cellStyles count="7">
    <cellStyle name="20% - Énfasis3" xfId="3" builtinId="38"/>
    <cellStyle name="Énfasis3" xfId="2" builtinId="37"/>
    <cellStyle name="Millares" xfId="1" builtinId="3"/>
    <cellStyle name="Millares 2" xfId="5"/>
    <cellStyle name="Normal" xfId="0" builtinId="0"/>
    <cellStyle name="Normal 2" xfId="4"/>
    <cellStyle name="Porcentaje 2" xfId="6"/>
  </cellStyles>
  <dxfs count="0"/>
  <tableStyles count="1" defaultTableStyle="TableStyleMedium9" defaultPivotStyle="PivotStyleLight16">
    <tableStyle name="Estilo de tabla dinámica 1" table="0" count="0"/>
  </tableStyles>
  <colors>
    <mruColors>
      <color rgb="FFBD25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55"/>
  <sheetViews>
    <sheetView tabSelected="1" topLeftCell="B1" zoomScale="70" zoomScaleNormal="70" workbookViewId="0">
      <selection activeCell="G10" sqref="G10"/>
    </sheetView>
  </sheetViews>
  <sheetFormatPr baseColWidth="10" defaultColWidth="11.453125" defaultRowHeight="14.5" x14ac:dyDescent="0.35"/>
  <cols>
    <col min="1" max="1" width="3.26953125" style="1" customWidth="1"/>
    <col min="2" max="2" width="5.453125" style="1" customWidth="1"/>
    <col min="3" max="3" width="49.453125" style="1" customWidth="1"/>
    <col min="4" max="4" width="23.7265625" style="55" bestFit="1" customWidth="1"/>
    <col min="5" max="5" width="12" style="55" bestFit="1" customWidth="1"/>
    <col min="6" max="6" width="11.453125" style="55"/>
    <col min="7" max="7" width="25.7265625" style="55" customWidth="1"/>
    <col min="8" max="8" width="7.7265625" style="1" customWidth="1"/>
    <col min="9" max="9" width="16.54296875" style="1" customWidth="1"/>
    <col min="10" max="10" width="16.81640625" style="1" customWidth="1"/>
    <col min="11" max="11" width="17.1796875" style="14" customWidth="1"/>
    <col min="12" max="12" width="40.54296875" style="14" customWidth="1"/>
    <col min="13" max="13" width="15.26953125" style="14" customWidth="1"/>
    <col min="14" max="14" width="11.453125" style="8" customWidth="1"/>
    <col min="15" max="15" width="12" style="8" customWidth="1"/>
    <col min="16" max="16" width="15" style="8" customWidth="1"/>
    <col min="17" max="17" width="3.26953125" style="1" customWidth="1"/>
    <col min="18" max="18" width="26.08984375" style="1" hidden="1" customWidth="1"/>
    <col min="19" max="21" width="11.453125" style="1"/>
    <col min="22" max="22" width="11.453125" style="14" customWidth="1"/>
    <col min="23" max="23" width="12.453125" style="1" customWidth="1"/>
    <col min="24" max="25" width="13.81640625" style="1" customWidth="1"/>
    <col min="26" max="27" width="11.453125" style="1" customWidth="1"/>
    <col min="28" max="16384" width="11.453125" style="1"/>
  </cols>
  <sheetData>
    <row r="2" spans="2:27" x14ac:dyDescent="0.35">
      <c r="B2" s="129" t="s">
        <v>21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" t="s">
        <v>104</v>
      </c>
      <c r="V2" s="5"/>
      <c r="W2" s="6"/>
    </row>
    <row r="3" spans="2:27" x14ac:dyDescent="0.35">
      <c r="V3" s="5"/>
      <c r="X3" s="6"/>
      <c r="Y3" s="6"/>
      <c r="Z3" s="6"/>
    </row>
    <row r="4" spans="2:27" ht="21.75" customHeight="1" x14ac:dyDescent="0.35">
      <c r="B4" s="22"/>
      <c r="C4" s="23"/>
      <c r="D4" s="56"/>
      <c r="E4" s="56"/>
      <c r="F4" s="56"/>
      <c r="G4" s="56"/>
      <c r="H4" s="23"/>
      <c r="I4" s="23"/>
      <c r="J4" s="23"/>
      <c r="K4" s="24"/>
      <c r="L4" s="24"/>
      <c r="M4" s="24"/>
      <c r="N4" s="23"/>
      <c r="O4" s="23"/>
      <c r="P4" s="23"/>
      <c r="Q4" s="25"/>
      <c r="V4" s="5"/>
    </row>
    <row r="5" spans="2:27" x14ac:dyDescent="0.35">
      <c r="B5" s="26"/>
      <c r="C5" s="19" t="s">
        <v>19</v>
      </c>
      <c r="D5" s="57"/>
      <c r="E5" s="134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6"/>
      <c r="Q5" s="27"/>
      <c r="V5" s="5"/>
      <c r="Z5" s="6"/>
      <c r="AA5" s="6"/>
    </row>
    <row r="6" spans="2:27" ht="4.5" customHeight="1" x14ac:dyDescent="0.35">
      <c r="B6" s="26"/>
      <c r="C6" s="4"/>
      <c r="D6" s="57"/>
      <c r="E6" s="57"/>
      <c r="F6" s="57"/>
      <c r="G6" s="57"/>
      <c r="H6" s="4"/>
      <c r="I6" s="4"/>
      <c r="J6" s="4"/>
      <c r="K6" s="13"/>
      <c r="L6" s="13"/>
      <c r="M6" s="13"/>
      <c r="N6" s="4"/>
      <c r="O6" s="4"/>
      <c r="P6" s="4"/>
      <c r="Q6" s="27"/>
    </row>
    <row r="7" spans="2:27" x14ac:dyDescent="0.35">
      <c r="B7" s="26"/>
      <c r="C7" s="19" t="s">
        <v>20</v>
      </c>
      <c r="D7" s="57"/>
      <c r="E7" s="134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6"/>
      <c r="Q7" s="27"/>
    </row>
    <row r="8" spans="2:27" ht="5.25" customHeight="1" x14ac:dyDescent="0.35">
      <c r="B8" s="26"/>
      <c r="C8" s="4"/>
      <c r="D8" s="57"/>
      <c r="E8" s="58"/>
      <c r="F8" s="58"/>
      <c r="G8" s="58"/>
      <c r="H8" s="16"/>
      <c r="I8" s="16"/>
      <c r="J8" s="16"/>
      <c r="K8" s="16"/>
      <c r="L8" s="16"/>
      <c r="M8" s="16"/>
      <c r="N8" s="16"/>
      <c r="O8" s="16"/>
      <c r="P8" s="16"/>
      <c r="Q8" s="27"/>
    </row>
    <row r="9" spans="2:27" x14ac:dyDescent="0.35">
      <c r="B9" s="26"/>
      <c r="C9" s="19" t="s">
        <v>3</v>
      </c>
      <c r="D9" s="57"/>
      <c r="E9" s="70">
        <v>43831</v>
      </c>
      <c r="F9" s="58"/>
      <c r="G9" s="58"/>
      <c r="H9" s="16"/>
      <c r="I9" s="16"/>
      <c r="J9" s="16"/>
      <c r="K9" s="16"/>
      <c r="L9" s="20" t="s">
        <v>10</v>
      </c>
      <c r="M9" s="117">
        <f ca="1">ROUNDUP(P26+P39,0)</f>
        <v>35</v>
      </c>
      <c r="N9" s="117"/>
      <c r="P9" s="21" t="s">
        <v>31</v>
      </c>
      <c r="Q9" s="27"/>
    </row>
    <row r="10" spans="2:27" ht="6.75" customHeight="1" x14ac:dyDescent="0.35">
      <c r="B10" s="26"/>
      <c r="C10" s="4"/>
      <c r="D10" s="57"/>
      <c r="E10" s="57"/>
      <c r="F10" s="58"/>
      <c r="G10" s="58"/>
      <c r="H10" s="16"/>
      <c r="I10" s="4"/>
      <c r="J10" s="16"/>
      <c r="K10" s="16"/>
      <c r="L10" s="16"/>
      <c r="M10" s="4"/>
      <c r="N10" s="4"/>
      <c r="O10" s="17"/>
      <c r="P10" s="17"/>
      <c r="Q10" s="27"/>
    </row>
    <row r="11" spans="2:27" ht="3.75" customHeight="1" x14ac:dyDescent="0.35">
      <c r="B11" s="33"/>
      <c r="C11" s="3"/>
      <c r="D11" s="59"/>
      <c r="E11" s="59"/>
      <c r="F11" s="59"/>
      <c r="G11" s="59"/>
      <c r="H11" s="3"/>
      <c r="I11" s="3"/>
      <c r="J11" s="3"/>
      <c r="K11" s="12"/>
      <c r="L11" s="12"/>
      <c r="M11" s="12"/>
      <c r="N11" s="4"/>
      <c r="O11" s="4"/>
      <c r="P11" s="4"/>
      <c r="Q11" s="34"/>
    </row>
    <row r="12" spans="2:27" ht="4.5" customHeight="1" x14ac:dyDescent="0.35">
      <c r="B12" s="35"/>
      <c r="C12" s="36"/>
      <c r="D12" s="60"/>
      <c r="E12" s="60"/>
      <c r="F12" s="60"/>
      <c r="G12" s="60"/>
      <c r="H12" s="36"/>
      <c r="I12" s="36"/>
      <c r="J12" s="36"/>
      <c r="K12" s="37"/>
      <c r="L12" s="37"/>
      <c r="M12" s="37"/>
      <c r="N12" s="38"/>
      <c r="O12" s="38"/>
      <c r="P12" s="38"/>
      <c r="Q12" s="39"/>
    </row>
    <row r="13" spans="2:27" ht="10.5" customHeight="1" x14ac:dyDescent="0.35"/>
    <row r="14" spans="2:27" x14ac:dyDescent="0.35">
      <c r="B14" s="29"/>
      <c r="C14" s="30"/>
      <c r="D14" s="61"/>
      <c r="E14" s="61"/>
      <c r="F14" s="61"/>
      <c r="G14" s="61"/>
      <c r="H14" s="30"/>
      <c r="I14" s="30"/>
      <c r="J14" s="30"/>
      <c r="K14" s="31"/>
      <c r="L14" s="31"/>
      <c r="M14" s="31"/>
      <c r="N14" s="23"/>
      <c r="O14" s="23"/>
      <c r="P14" s="23"/>
      <c r="Q14" s="32"/>
    </row>
    <row r="15" spans="2:27" x14ac:dyDescent="0.35">
      <c r="B15" s="33"/>
      <c r="C15" s="123" t="s">
        <v>94</v>
      </c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34"/>
    </row>
    <row r="16" spans="2:27" ht="17.25" customHeight="1" x14ac:dyDescent="0.35">
      <c r="B16" s="33"/>
      <c r="C16" s="3"/>
      <c r="D16" s="59"/>
      <c r="E16" s="59"/>
      <c r="F16" s="59"/>
      <c r="G16" s="59"/>
      <c r="H16" s="3"/>
      <c r="I16" s="3"/>
      <c r="J16" s="3"/>
      <c r="K16" s="12"/>
      <c r="L16" s="12"/>
      <c r="M16" s="12"/>
      <c r="N16" s="4"/>
      <c r="O16" s="4"/>
      <c r="P16" s="4"/>
      <c r="Q16" s="34"/>
    </row>
    <row r="17" spans="2:17" ht="17.25" customHeight="1" x14ac:dyDescent="0.35">
      <c r="B17" s="33"/>
      <c r="C17" s="77" t="s">
        <v>32</v>
      </c>
      <c r="D17" s="77">
        <v>1</v>
      </c>
      <c r="E17" s="59"/>
      <c r="F17" s="59"/>
      <c r="G17" s="59"/>
      <c r="H17" s="3"/>
      <c r="I17" s="3"/>
      <c r="J17" s="3"/>
      <c r="K17" s="12"/>
      <c r="L17" s="12"/>
      <c r="M17" s="12"/>
      <c r="N17" s="4"/>
      <c r="O17" s="4"/>
      <c r="P17" s="4"/>
      <c r="Q17" s="34"/>
    </row>
    <row r="18" spans="2:17" ht="7.5" customHeight="1" x14ac:dyDescent="0.35">
      <c r="B18" s="33"/>
      <c r="C18" s="3"/>
      <c r="D18" s="59"/>
      <c r="E18" s="59"/>
      <c r="F18" s="59"/>
      <c r="G18" s="59"/>
      <c r="H18" s="3"/>
      <c r="I18" s="3"/>
      <c r="J18" s="3"/>
      <c r="K18" s="12"/>
      <c r="L18" s="12"/>
      <c r="M18" s="12"/>
      <c r="N18" s="4"/>
      <c r="O18" s="4"/>
      <c r="P18" s="4"/>
      <c r="Q18" s="34"/>
    </row>
    <row r="19" spans="2:17" ht="41.25" customHeight="1" x14ac:dyDescent="0.35">
      <c r="B19" s="33"/>
      <c r="C19" s="72" t="s">
        <v>30</v>
      </c>
      <c r="D19" s="130" t="s">
        <v>4</v>
      </c>
      <c r="E19" s="131"/>
      <c r="F19" s="131"/>
      <c r="G19" s="131"/>
      <c r="H19" s="132"/>
      <c r="I19" s="72" t="s">
        <v>2</v>
      </c>
      <c r="J19" s="72" t="s">
        <v>18</v>
      </c>
      <c r="K19" s="71" t="s">
        <v>22</v>
      </c>
      <c r="L19" s="71" t="s">
        <v>25</v>
      </c>
      <c r="M19" s="71" t="s">
        <v>0</v>
      </c>
      <c r="N19" s="72" t="s">
        <v>26</v>
      </c>
      <c r="O19" s="71" t="s">
        <v>9</v>
      </c>
      <c r="P19" s="78" t="s">
        <v>31</v>
      </c>
      <c r="Q19" s="34"/>
    </row>
    <row r="20" spans="2:17" x14ac:dyDescent="0.35">
      <c r="B20" s="33"/>
      <c r="C20" s="66"/>
      <c r="D20" s="125"/>
      <c r="E20" s="126"/>
      <c r="F20" s="126"/>
      <c r="G20" s="126"/>
      <c r="H20" s="127"/>
      <c r="I20" s="43" t="s">
        <v>40</v>
      </c>
      <c r="J20" s="43" t="s">
        <v>23</v>
      </c>
      <c r="K20" s="67" t="s">
        <v>37</v>
      </c>
      <c r="L20" s="68" t="s">
        <v>106</v>
      </c>
      <c r="M20" s="68" t="s">
        <v>43</v>
      </c>
      <c r="N20" s="65">
        <v>1</v>
      </c>
      <c r="O20" s="28">
        <f ca="1">(IF(I20&amp;J20&amp;K20&amp;L20&amp;M20&lt;&gt;"",VLOOKUP(I20&amp;J20&amp;K20&amp;L20&amp;M20,INDIRECT("'"&amp;$R$2&amp;I20&amp;"'"&amp;"!$G$2:K323"),3,FALSE),0)*N20)</f>
        <v>10</v>
      </c>
      <c r="P20" s="28">
        <f t="shared" ref="P20:P22" ca="1" si="0">MROUND(O20*$D$17,0.5)</f>
        <v>10</v>
      </c>
      <c r="Q20" s="34"/>
    </row>
    <row r="21" spans="2:17" x14ac:dyDescent="0.35">
      <c r="B21" s="33"/>
      <c r="C21" s="66"/>
      <c r="D21" s="110"/>
      <c r="E21" s="111"/>
      <c r="F21" s="111"/>
      <c r="G21" s="111"/>
      <c r="H21" s="112"/>
      <c r="I21" s="43" t="s">
        <v>41</v>
      </c>
      <c r="J21" s="43" t="s">
        <v>33</v>
      </c>
      <c r="K21" s="67" t="s">
        <v>57</v>
      </c>
      <c r="L21" s="68" t="s">
        <v>100</v>
      </c>
      <c r="M21" s="68" t="s">
        <v>44</v>
      </c>
      <c r="N21" s="65">
        <v>1</v>
      </c>
      <c r="O21" s="28">
        <f ca="1">(IF(I21&amp;J21&amp;K21&amp;L21&amp;M21&lt;&gt;"",VLOOKUP(I21&amp;J21&amp;K21&amp;L21&amp;M21,INDIRECT("'"&amp;$R$2&amp;I21&amp;"'"&amp;"!$G$2:K323"),3,FALSE),0)*N21)</f>
        <v>1</v>
      </c>
      <c r="P21" s="28">
        <f t="shared" ca="1" si="0"/>
        <v>1</v>
      </c>
      <c r="Q21" s="34"/>
    </row>
    <row r="22" spans="2:17" x14ac:dyDescent="0.35">
      <c r="B22" s="33"/>
      <c r="C22" s="66"/>
      <c r="D22" s="113"/>
      <c r="E22" s="114"/>
      <c r="F22" s="114"/>
      <c r="G22" s="114"/>
      <c r="H22" s="115"/>
      <c r="I22" s="43" t="s">
        <v>40</v>
      </c>
      <c r="J22" s="43" t="s">
        <v>24</v>
      </c>
      <c r="K22" s="67" t="s">
        <v>62</v>
      </c>
      <c r="L22" s="68" t="s">
        <v>99</v>
      </c>
      <c r="M22" s="68" t="s">
        <v>43</v>
      </c>
      <c r="N22" s="65">
        <v>1</v>
      </c>
      <c r="O22" s="28">
        <f ca="1">(IF(I22&amp;J22&amp;K22&amp;L22&amp;M22&lt;&gt;"",VLOOKUP(I22&amp;J22&amp;K22&amp;L22&amp;M22,INDIRECT("'"&amp;$R$2&amp;I22&amp;"'"&amp;"!$G$2:K323"),3,FALSE),0)*N22)</f>
        <v>4</v>
      </c>
      <c r="P22" s="28">
        <f t="shared" ca="1" si="0"/>
        <v>4</v>
      </c>
      <c r="Q22" s="34"/>
    </row>
    <row r="23" spans="2:17" x14ac:dyDescent="0.35">
      <c r="B23" s="33"/>
      <c r="C23" s="66"/>
      <c r="D23" s="110"/>
      <c r="E23" s="111"/>
      <c r="F23" s="111"/>
      <c r="G23" s="111"/>
      <c r="H23" s="112"/>
      <c r="I23" s="43" t="s">
        <v>40</v>
      </c>
      <c r="J23" s="43" t="s">
        <v>24</v>
      </c>
      <c r="K23" s="67" t="s">
        <v>37</v>
      </c>
      <c r="L23" s="68" t="s">
        <v>69</v>
      </c>
      <c r="M23" s="68" t="s">
        <v>43</v>
      </c>
      <c r="N23" s="65">
        <v>1</v>
      </c>
      <c r="O23" s="28">
        <f ca="1">(IF(I23&amp;J23&amp;K23&amp;L23&amp;M23&lt;&gt;"",VLOOKUP(I23&amp;J23&amp;K23&amp;L23&amp;M23,INDIRECT("'"&amp;$R$2&amp;I23&amp;"'"&amp;"!$G$2:K323"),3,FALSE),0)*N23)</f>
        <v>5</v>
      </c>
      <c r="P23" s="28">
        <f t="shared" ref="P23" ca="1" si="1">MROUND(O23*$D$17,0.5)</f>
        <v>5</v>
      </c>
      <c r="Q23" s="34"/>
    </row>
    <row r="24" spans="2:17" x14ac:dyDescent="0.35">
      <c r="B24" s="33"/>
      <c r="C24" s="121" t="s">
        <v>36</v>
      </c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69"/>
      <c r="Q24" s="34"/>
    </row>
    <row r="25" spans="2:17" x14ac:dyDescent="0.35">
      <c r="B25" s="33"/>
      <c r="C25" s="3"/>
      <c r="D25" s="62"/>
      <c r="E25" s="62"/>
      <c r="F25" s="62"/>
      <c r="G25" s="62"/>
      <c r="H25" s="12"/>
      <c r="I25" s="12"/>
      <c r="J25" s="12"/>
      <c r="K25" s="12"/>
      <c r="L25" s="12"/>
      <c r="M25" s="12"/>
      <c r="N25" s="9"/>
      <c r="O25" s="9"/>
      <c r="P25" s="9"/>
      <c r="Q25" s="34"/>
    </row>
    <row r="26" spans="2:17" x14ac:dyDescent="0.35">
      <c r="B26" s="33"/>
      <c r="C26" s="122" t="s">
        <v>6</v>
      </c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6"/>
      <c r="O26" s="1"/>
      <c r="P26" s="76">
        <f ca="1">SUM(P18:P24)</f>
        <v>20</v>
      </c>
      <c r="Q26" s="34"/>
    </row>
    <row r="27" spans="2:17" x14ac:dyDescent="0.35">
      <c r="B27" s="35"/>
      <c r="C27" s="36"/>
      <c r="D27" s="60"/>
      <c r="E27" s="60"/>
      <c r="F27" s="60"/>
      <c r="G27" s="60"/>
      <c r="H27" s="36"/>
      <c r="I27" s="36"/>
      <c r="J27" s="36"/>
      <c r="K27" s="37"/>
      <c r="L27" s="37"/>
      <c r="M27" s="37"/>
      <c r="N27" s="38"/>
      <c r="O27" s="38"/>
      <c r="P27" s="38"/>
      <c r="Q27" s="39"/>
    </row>
    <row r="28" spans="2:17" ht="10.5" customHeight="1" x14ac:dyDescent="0.35"/>
    <row r="29" spans="2:17" x14ac:dyDescent="0.35">
      <c r="B29" s="29"/>
      <c r="C29" s="30"/>
      <c r="D29" s="61"/>
      <c r="E29" s="61"/>
      <c r="F29" s="61"/>
      <c r="G29" s="61"/>
      <c r="H29" s="30"/>
      <c r="I29" s="30"/>
      <c r="J29" s="30"/>
      <c r="K29" s="31"/>
      <c r="L29" s="31"/>
      <c r="M29" s="31"/>
      <c r="N29" s="23"/>
      <c r="O29" s="23"/>
      <c r="P29" s="23"/>
      <c r="Q29" s="32"/>
    </row>
    <row r="30" spans="2:17" ht="15" customHeight="1" x14ac:dyDescent="0.35">
      <c r="B30" s="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69"/>
      <c r="Q30" s="34"/>
    </row>
    <row r="31" spans="2:17" ht="15" customHeight="1" x14ac:dyDescent="0.35">
      <c r="B31" s="33"/>
      <c r="C31" s="128" t="s">
        <v>77</v>
      </c>
      <c r="D31" s="128"/>
      <c r="G31" s="50"/>
      <c r="H31" s="47"/>
      <c r="I31" s="47"/>
      <c r="J31" s="120" t="s">
        <v>5</v>
      </c>
      <c r="K31" s="119" t="s">
        <v>14</v>
      </c>
      <c r="L31" s="119"/>
      <c r="M31" s="47"/>
      <c r="N31" s="47"/>
      <c r="O31" s="47"/>
      <c r="P31" s="69"/>
      <c r="Q31" s="34"/>
    </row>
    <row r="32" spans="2:17" x14ac:dyDescent="0.35">
      <c r="B32" s="33"/>
      <c r="C32" s="100" t="s">
        <v>101</v>
      </c>
      <c r="D32" s="103"/>
      <c r="E32" s="59"/>
      <c r="F32" s="101" t="s">
        <v>102</v>
      </c>
      <c r="G32" s="59"/>
      <c r="H32" s="3"/>
      <c r="I32" s="11"/>
      <c r="J32" s="120"/>
      <c r="K32" s="80" t="s">
        <v>12</v>
      </c>
      <c r="L32" s="80" t="s">
        <v>13</v>
      </c>
      <c r="P32" s="82" t="s">
        <v>9</v>
      </c>
      <c r="Q32" s="34"/>
    </row>
    <row r="33" spans="2:22" x14ac:dyDescent="0.35">
      <c r="B33" s="33"/>
      <c r="C33" s="92" t="s">
        <v>23</v>
      </c>
      <c r="D33" s="85" t="s">
        <v>71</v>
      </c>
      <c r="E33" s="57"/>
      <c r="F33" s="85" t="s">
        <v>39</v>
      </c>
      <c r="G33" s="57"/>
      <c r="H33" s="15"/>
      <c r="I33" s="94" t="s">
        <v>15</v>
      </c>
      <c r="J33" s="79">
        <v>0.1</v>
      </c>
      <c r="K33" s="49" t="s">
        <v>35</v>
      </c>
      <c r="L33" s="79">
        <f>IF(K33="Sí",5%,0%)</f>
        <v>0</v>
      </c>
      <c r="N33" s="6"/>
      <c r="P33" s="46">
        <f ca="1">MROUND(J33*(SUM(P34:P37)+$P$26),0.5)</f>
        <v>3</v>
      </c>
      <c r="Q33" s="34"/>
    </row>
    <row r="34" spans="2:22" x14ac:dyDescent="0.35">
      <c r="B34" s="33"/>
      <c r="C34" s="93" t="s">
        <v>24</v>
      </c>
      <c r="D34" s="86" t="s">
        <v>75</v>
      </c>
      <c r="E34" s="57"/>
      <c r="F34" s="85" t="s">
        <v>38</v>
      </c>
      <c r="G34" s="57"/>
      <c r="H34" s="15"/>
      <c r="I34" s="94" t="s">
        <v>27</v>
      </c>
      <c r="J34" s="79">
        <v>0.2</v>
      </c>
      <c r="K34" s="49" t="s">
        <v>105</v>
      </c>
      <c r="L34" s="79">
        <f>IF(K34="Sí",5%,0%)</f>
        <v>0.05</v>
      </c>
      <c r="N34" s="6"/>
      <c r="P34" s="28">
        <f ca="1">MROUND($P$26*(J34+L34),0.5)</f>
        <v>5</v>
      </c>
      <c r="Q34" s="34"/>
      <c r="R34" s="18"/>
    </row>
    <row r="35" spans="2:22" x14ac:dyDescent="0.35">
      <c r="B35" s="33"/>
      <c r="C35" s="93" t="s">
        <v>33</v>
      </c>
      <c r="D35" s="86" t="s">
        <v>72</v>
      </c>
      <c r="E35" s="57"/>
      <c r="F35" s="85" t="s">
        <v>37</v>
      </c>
      <c r="G35" s="57"/>
      <c r="H35" s="15"/>
      <c r="I35" s="94" t="s">
        <v>29</v>
      </c>
      <c r="J35" s="79">
        <v>0.05</v>
      </c>
      <c r="K35" s="49" t="s">
        <v>35</v>
      </c>
      <c r="L35" s="79">
        <f>IF(K35="Sí",5%,0%)</f>
        <v>0</v>
      </c>
      <c r="N35" s="6"/>
      <c r="P35" s="28">
        <v>0</v>
      </c>
      <c r="Q35" s="34"/>
      <c r="R35" s="18"/>
    </row>
    <row r="36" spans="2:22" x14ac:dyDescent="0.35">
      <c r="B36" s="33"/>
      <c r="C36" s="93" t="s">
        <v>70</v>
      </c>
      <c r="D36" s="86" t="s">
        <v>78</v>
      </c>
      <c r="E36" s="57"/>
      <c r="F36" s="102" t="s">
        <v>62</v>
      </c>
      <c r="G36" s="57"/>
      <c r="H36" s="15"/>
      <c r="I36" s="94" t="s">
        <v>55</v>
      </c>
      <c r="J36" s="79">
        <v>0.2</v>
      </c>
      <c r="K36" s="49" t="s">
        <v>35</v>
      </c>
      <c r="L36" s="79">
        <f>IF(K36="Sí",5%,0%)</f>
        <v>0</v>
      </c>
      <c r="N36" s="6"/>
      <c r="P36" s="28">
        <f ca="1">MROUND($P$26*(J36+L36),0.5)</f>
        <v>4</v>
      </c>
      <c r="Q36" s="34"/>
      <c r="R36" s="18"/>
    </row>
    <row r="37" spans="2:22" x14ac:dyDescent="0.35">
      <c r="B37" s="33"/>
      <c r="C37" s="3"/>
      <c r="D37" s="57"/>
      <c r="E37" s="57"/>
      <c r="F37" s="102" t="s">
        <v>57</v>
      </c>
      <c r="G37" s="57"/>
      <c r="H37" s="15"/>
      <c r="I37" s="94" t="s">
        <v>34</v>
      </c>
      <c r="J37" s="79">
        <v>0.15</v>
      </c>
      <c r="K37" s="49" t="s">
        <v>35</v>
      </c>
      <c r="L37" s="79">
        <f>IF(K37="Sí",5%,0%)</f>
        <v>0</v>
      </c>
      <c r="N37" s="6"/>
      <c r="P37" s="28">
        <f ca="1">MROUND($P$26*(J37+L37),0.5)</f>
        <v>3</v>
      </c>
      <c r="Q37" s="34"/>
      <c r="R37" s="18"/>
    </row>
    <row r="38" spans="2:22" x14ac:dyDescent="0.35">
      <c r="B38" s="33"/>
      <c r="C38" s="3"/>
      <c r="D38" s="63"/>
      <c r="E38" s="63"/>
      <c r="F38" s="63"/>
      <c r="G38" s="63"/>
      <c r="H38" s="7"/>
      <c r="I38" s="40"/>
      <c r="J38" s="13" t="s">
        <v>16</v>
      </c>
      <c r="K38" s="13"/>
      <c r="L38" s="13"/>
      <c r="M38" s="40"/>
      <c r="N38" s="10"/>
      <c r="O38" s="10"/>
      <c r="P38" s="10"/>
      <c r="Q38" s="34"/>
    </row>
    <row r="39" spans="2:22" x14ac:dyDescent="0.35">
      <c r="B39" s="33"/>
      <c r="C39" s="3"/>
      <c r="D39" s="63"/>
      <c r="E39" s="63"/>
      <c r="F39" s="63"/>
      <c r="G39" s="63"/>
      <c r="H39" s="7"/>
      <c r="I39" s="118" t="s">
        <v>6</v>
      </c>
      <c r="J39" s="118"/>
      <c r="K39" s="118"/>
      <c r="L39" s="118"/>
      <c r="M39" s="118"/>
      <c r="N39" s="6"/>
      <c r="P39" s="81">
        <f ca="1">SUM(P33:P37)</f>
        <v>15</v>
      </c>
      <c r="Q39" s="34"/>
    </row>
    <row r="40" spans="2:22" x14ac:dyDescent="0.35">
      <c r="B40" s="35"/>
      <c r="C40" s="36"/>
      <c r="D40" s="60"/>
      <c r="E40" s="60"/>
      <c r="F40" s="60"/>
      <c r="G40" s="60"/>
      <c r="H40" s="36"/>
      <c r="I40" s="36"/>
      <c r="J40" s="36"/>
      <c r="K40" s="37"/>
      <c r="L40" s="37"/>
      <c r="M40" s="37"/>
      <c r="N40" s="38"/>
      <c r="O40" s="38"/>
      <c r="P40" s="38"/>
      <c r="Q40" s="39"/>
    </row>
    <row r="41" spans="2:22" ht="3" customHeight="1" x14ac:dyDescent="0.35"/>
    <row r="42" spans="2:22" ht="10.5" customHeight="1" x14ac:dyDescent="0.35"/>
    <row r="43" spans="2:22" x14ac:dyDescent="0.35">
      <c r="B43" s="29"/>
      <c r="C43" s="30"/>
      <c r="D43" s="61"/>
      <c r="E43" s="61"/>
      <c r="F43" s="61"/>
      <c r="G43" s="61"/>
      <c r="H43" s="30"/>
      <c r="I43" s="30"/>
      <c r="J43" s="30"/>
      <c r="K43" s="31"/>
      <c r="L43" s="31"/>
      <c r="M43" s="31"/>
      <c r="N43" s="23"/>
      <c r="O43" s="23"/>
      <c r="P43" s="23"/>
      <c r="Q43" s="32"/>
    </row>
    <row r="44" spans="2:22" x14ac:dyDescent="0.35">
      <c r="B44" s="41"/>
      <c r="C44" s="116" t="s">
        <v>7</v>
      </c>
      <c r="D44" s="116" t="s">
        <v>7</v>
      </c>
      <c r="E44" s="116"/>
      <c r="F44" s="116"/>
      <c r="G44" s="116"/>
      <c r="H44" s="116"/>
      <c r="I44" s="116"/>
      <c r="J44" s="116"/>
      <c r="K44" s="116"/>
      <c r="L44" s="116"/>
      <c r="M44" s="116"/>
      <c r="N44" s="6"/>
      <c r="P44" s="83">
        <f ca="1">P26+P39</f>
        <v>35</v>
      </c>
      <c r="Q44" s="42"/>
    </row>
    <row r="45" spans="2:22" x14ac:dyDescent="0.35">
      <c r="B45" s="35"/>
      <c r="C45" s="36"/>
      <c r="D45" s="60"/>
      <c r="E45" s="60"/>
      <c r="F45" s="60"/>
      <c r="G45" s="60"/>
      <c r="H45" s="36"/>
      <c r="I45" s="36"/>
      <c r="J45" s="36"/>
      <c r="K45" s="37"/>
      <c r="L45" s="37"/>
      <c r="M45" s="37"/>
      <c r="N45" s="38"/>
      <c r="O45" s="38"/>
      <c r="P45" s="38"/>
      <c r="Q45" s="39"/>
    </row>
    <row r="47" spans="2:22" s="51" customFormat="1" ht="18.5" x14ac:dyDescent="0.45">
      <c r="C47" s="52" t="s">
        <v>17</v>
      </c>
      <c r="D47" s="64"/>
      <c r="E47" s="64"/>
      <c r="F47" s="64"/>
      <c r="G47" s="64"/>
      <c r="K47" s="53"/>
      <c r="L47" s="53"/>
      <c r="M47" s="53"/>
      <c r="N47" s="54"/>
      <c r="O47" s="54"/>
      <c r="P47" s="54"/>
      <c r="V47" s="53"/>
    </row>
    <row r="48" spans="2:22" s="51" customFormat="1" ht="18.5" x14ac:dyDescent="0.45">
      <c r="D48" s="64"/>
      <c r="E48" s="64"/>
      <c r="F48" s="64"/>
      <c r="G48" s="64"/>
      <c r="K48" s="53"/>
      <c r="L48" s="53"/>
      <c r="M48" s="53"/>
      <c r="N48" s="54"/>
      <c r="O48" s="54"/>
      <c r="P48" s="54"/>
      <c r="V48" s="53"/>
    </row>
    <row r="49" spans="4:22" s="51" customFormat="1" ht="18.5" x14ac:dyDescent="0.45">
      <c r="D49" s="64"/>
      <c r="E49" s="64"/>
      <c r="F49" s="64"/>
      <c r="G49" s="64"/>
      <c r="K49" s="53"/>
      <c r="L49" s="53"/>
      <c r="M49" s="53"/>
      <c r="N49" s="54"/>
      <c r="O49" s="54"/>
      <c r="P49" s="54"/>
      <c r="V49" s="53"/>
    </row>
    <row r="50" spans="4:22" s="51" customFormat="1" ht="18.5" x14ac:dyDescent="0.45">
      <c r="D50" s="64"/>
      <c r="E50" s="64"/>
      <c r="F50" s="64"/>
      <c r="G50" s="64"/>
      <c r="K50" s="53"/>
      <c r="L50" s="53"/>
      <c r="M50" s="53"/>
      <c r="N50" s="54"/>
      <c r="O50" s="54"/>
      <c r="P50" s="54"/>
      <c r="V50" s="53"/>
    </row>
    <row r="51" spans="4:22" s="51" customFormat="1" ht="18.5" x14ac:dyDescent="0.45">
      <c r="D51" s="64"/>
      <c r="E51" s="64"/>
      <c r="F51" s="64"/>
      <c r="G51" s="64"/>
      <c r="K51" s="53"/>
      <c r="L51" s="53"/>
      <c r="M51" s="53"/>
      <c r="N51" s="54"/>
      <c r="O51" s="54"/>
      <c r="P51" s="54"/>
      <c r="V51" s="53"/>
    </row>
    <row r="52" spans="4:22" s="51" customFormat="1" ht="18.5" x14ac:dyDescent="0.45">
      <c r="D52" s="64"/>
      <c r="E52" s="64"/>
      <c r="F52" s="64"/>
      <c r="G52" s="64"/>
      <c r="K52" s="53"/>
      <c r="L52" s="53"/>
      <c r="M52" s="53"/>
      <c r="N52" s="54"/>
      <c r="O52" s="54"/>
      <c r="P52" s="54"/>
      <c r="V52" s="53"/>
    </row>
    <row r="53" spans="4:22" s="51" customFormat="1" ht="18.5" x14ac:dyDescent="0.45">
      <c r="D53" s="64"/>
      <c r="E53" s="64"/>
      <c r="F53" s="64"/>
      <c r="G53" s="64"/>
      <c r="K53" s="53"/>
      <c r="L53" s="53"/>
      <c r="M53" s="53"/>
      <c r="N53" s="54"/>
      <c r="O53" s="54"/>
      <c r="P53" s="54"/>
      <c r="V53" s="53"/>
    </row>
    <row r="54" spans="4:22" s="51" customFormat="1" ht="18.5" x14ac:dyDescent="0.45">
      <c r="D54" s="64"/>
      <c r="E54" s="64"/>
      <c r="F54" s="64"/>
      <c r="G54" s="64"/>
      <c r="K54" s="53"/>
      <c r="L54" s="53"/>
      <c r="M54" s="53"/>
      <c r="N54" s="54"/>
      <c r="O54" s="54"/>
      <c r="P54" s="54"/>
      <c r="V54" s="53"/>
    </row>
    <row r="55" spans="4:22" s="51" customFormat="1" ht="18.5" x14ac:dyDescent="0.45">
      <c r="D55" s="64"/>
      <c r="E55" s="64"/>
      <c r="F55" s="64"/>
      <c r="G55" s="64"/>
      <c r="K55" s="53"/>
      <c r="L55" s="53"/>
      <c r="M55" s="53"/>
      <c r="N55" s="54"/>
      <c r="O55" s="54"/>
      <c r="P55" s="54"/>
      <c r="V55" s="53"/>
    </row>
  </sheetData>
  <mergeCells count="15">
    <mergeCell ref="B2:Q2"/>
    <mergeCell ref="D19:H19"/>
    <mergeCell ref="C30:O30"/>
    <mergeCell ref="E5:P5"/>
    <mergeCell ref="E7:P7"/>
    <mergeCell ref="C44:M44"/>
    <mergeCell ref="M9:N9"/>
    <mergeCell ref="I39:M39"/>
    <mergeCell ref="K31:L31"/>
    <mergeCell ref="J31:J32"/>
    <mergeCell ref="C24:O24"/>
    <mergeCell ref="C26:M26"/>
    <mergeCell ref="C15:P15"/>
    <mergeCell ref="D20:H20"/>
    <mergeCell ref="C31:D31"/>
  </mergeCells>
  <dataValidations count="7">
    <dataValidation type="list" allowBlank="1" showInputMessage="1" showErrorMessage="1" sqref="M25">
      <formula1>#REF!</formula1>
    </dataValidation>
    <dataValidation type="list" allowBlank="1" showInputMessage="1" showErrorMessage="1" sqref="K33:K37">
      <formula1>"Sí,No"</formula1>
    </dataValidation>
    <dataValidation type="list" allowBlank="1" showInputMessage="1" showErrorMessage="1" sqref="I20:I23">
      <formula1>NUEVO_MODIF</formula1>
    </dataValidation>
    <dataValidation type="list" allowBlank="1" showInputMessage="1" showErrorMessage="1" sqref="M20:M23">
      <formula1>COMPLEJIDAD</formula1>
    </dataValidation>
    <dataValidation type="list" allowBlank="1" showInputMessage="1" showErrorMessage="1" sqref="J20:J23">
      <formula1>AMBITO</formula1>
    </dataValidation>
    <dataValidation type="list" allowBlank="1" showInputMessage="1" showErrorMessage="1" sqref="K20:K23">
      <formula1>INDIRECT(J20)</formula1>
    </dataValidation>
    <dataValidation type="list" allowBlank="1" showInputMessage="1" showErrorMessage="1" sqref="L20:L23">
      <formula1>INDIRECT(CONCATENATE(J20,K20))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"/>
  <sheetViews>
    <sheetView topLeftCell="A13" zoomScaleNormal="100" workbookViewId="0">
      <selection activeCell="E26" sqref="E26"/>
    </sheetView>
  </sheetViews>
  <sheetFormatPr baseColWidth="10" defaultRowHeight="14.5" x14ac:dyDescent="0.35"/>
  <cols>
    <col min="1" max="1" width="14.54296875" bestFit="1" customWidth="1"/>
    <col min="4" max="4" width="35.81640625" bestFit="1" customWidth="1"/>
    <col min="5" max="5" width="12.1796875" customWidth="1"/>
    <col min="6" max="6" width="200.81640625" bestFit="1" customWidth="1"/>
    <col min="9" max="9" width="22.81640625" customWidth="1"/>
    <col min="10" max="10" width="48.7265625" bestFit="1" customWidth="1"/>
  </cols>
  <sheetData>
    <row r="1" spans="1:10" x14ac:dyDescent="0.35">
      <c r="A1" s="73" t="s">
        <v>2</v>
      </c>
      <c r="B1" s="73" t="s">
        <v>18</v>
      </c>
      <c r="C1" s="73" t="s">
        <v>22</v>
      </c>
      <c r="D1" s="74" t="s">
        <v>25</v>
      </c>
      <c r="E1" s="73" t="s">
        <v>0</v>
      </c>
      <c r="F1" s="75" t="s">
        <v>51</v>
      </c>
    </row>
    <row r="2" spans="1:10" x14ac:dyDescent="0.35">
      <c r="A2" s="85" t="s">
        <v>40</v>
      </c>
      <c r="B2" s="85" t="s">
        <v>23</v>
      </c>
      <c r="C2" s="95" t="s">
        <v>23</v>
      </c>
      <c r="D2" s="95" t="s">
        <v>45</v>
      </c>
      <c r="E2" s="85" t="s">
        <v>44</v>
      </c>
      <c r="F2" s="85"/>
      <c r="H2" s="128" t="s">
        <v>77</v>
      </c>
      <c r="I2" s="128"/>
    </row>
    <row r="3" spans="1:10" x14ac:dyDescent="0.35">
      <c r="A3" s="85" t="s">
        <v>41</v>
      </c>
      <c r="B3" s="85" t="s">
        <v>24</v>
      </c>
      <c r="C3" s="85" t="s">
        <v>39</v>
      </c>
      <c r="D3" s="85" t="s">
        <v>106</v>
      </c>
      <c r="E3" s="85" t="s">
        <v>43</v>
      </c>
      <c r="F3" s="85" t="s">
        <v>52</v>
      </c>
      <c r="H3" s="67" t="s">
        <v>23</v>
      </c>
      <c r="I3" s="84" t="s">
        <v>71</v>
      </c>
      <c r="J3" s="84" t="s">
        <v>74</v>
      </c>
    </row>
    <row r="4" spans="1:10" x14ac:dyDescent="0.35">
      <c r="A4" s="85"/>
      <c r="B4" s="85" t="s">
        <v>33</v>
      </c>
      <c r="C4" t="s">
        <v>62</v>
      </c>
      <c r="D4" s="85" t="s">
        <v>82</v>
      </c>
      <c r="E4" s="85" t="s">
        <v>42</v>
      </c>
      <c r="F4" s="85" t="s">
        <v>53</v>
      </c>
      <c r="H4" s="43" t="s">
        <v>24</v>
      </c>
      <c r="I4" t="s">
        <v>75</v>
      </c>
      <c r="J4" t="s">
        <v>75</v>
      </c>
    </row>
    <row r="5" spans="1:10" x14ac:dyDescent="0.35">
      <c r="A5" s="85"/>
      <c r="B5" s="85" t="s">
        <v>70</v>
      </c>
      <c r="C5" s="85" t="s">
        <v>37</v>
      </c>
      <c r="D5" s="85" t="s">
        <v>80</v>
      </c>
      <c r="E5" s="85"/>
      <c r="F5" s="85" t="s">
        <v>54</v>
      </c>
      <c r="H5" s="43" t="s">
        <v>33</v>
      </c>
      <c r="I5" t="s">
        <v>72</v>
      </c>
      <c r="J5" t="s">
        <v>73</v>
      </c>
    </row>
    <row r="6" spans="1:10" x14ac:dyDescent="0.35">
      <c r="A6" s="85"/>
      <c r="B6" s="85"/>
      <c r="C6" s="85" t="s">
        <v>38</v>
      </c>
      <c r="D6" s="85" t="s">
        <v>81</v>
      </c>
      <c r="E6" s="85"/>
      <c r="F6" s="85"/>
      <c r="H6" s="43" t="s">
        <v>70</v>
      </c>
      <c r="I6" t="s">
        <v>78</v>
      </c>
      <c r="J6" t="s">
        <v>76</v>
      </c>
    </row>
    <row r="7" spans="1:10" x14ac:dyDescent="0.35">
      <c r="A7" s="85"/>
      <c r="B7" s="85"/>
      <c r="C7" s="95" t="s">
        <v>24</v>
      </c>
      <c r="D7" s="88" t="s">
        <v>107</v>
      </c>
      <c r="E7" s="85"/>
      <c r="F7" s="85"/>
    </row>
    <row r="8" spans="1:10" x14ac:dyDescent="0.35">
      <c r="A8" s="85"/>
      <c r="B8" s="85"/>
      <c r="C8" t="s">
        <v>62</v>
      </c>
      <c r="D8" s="95" t="s">
        <v>46</v>
      </c>
      <c r="E8" s="85"/>
      <c r="F8" s="85"/>
    </row>
    <row r="9" spans="1:10" x14ac:dyDescent="0.35">
      <c r="A9" s="85"/>
      <c r="B9" s="85"/>
      <c r="C9" s="85" t="s">
        <v>37</v>
      </c>
      <c r="D9" s="88" t="s">
        <v>96</v>
      </c>
      <c r="E9" s="85"/>
      <c r="F9" s="85"/>
    </row>
    <row r="10" spans="1:10" x14ac:dyDescent="0.35">
      <c r="A10" s="85"/>
      <c r="B10" s="85"/>
      <c r="C10" s="85" t="s">
        <v>38</v>
      </c>
      <c r="D10" s="85" t="s">
        <v>79</v>
      </c>
      <c r="E10" s="85"/>
      <c r="F10" s="85"/>
    </row>
    <row r="11" spans="1:10" x14ac:dyDescent="0.35">
      <c r="A11" s="85"/>
      <c r="B11" s="85"/>
      <c r="C11" s="85" t="s">
        <v>39</v>
      </c>
      <c r="D11" s="85" t="s">
        <v>106</v>
      </c>
      <c r="E11" s="85"/>
      <c r="F11" s="85"/>
    </row>
    <row r="12" spans="1:10" x14ac:dyDescent="0.35">
      <c r="A12" s="85"/>
      <c r="B12" s="85"/>
      <c r="C12" s="95" t="s">
        <v>33</v>
      </c>
      <c r="D12" s="85" t="s">
        <v>82</v>
      </c>
      <c r="E12" s="85"/>
      <c r="F12" s="85"/>
    </row>
    <row r="13" spans="1:10" x14ac:dyDescent="0.35">
      <c r="A13" s="85"/>
      <c r="B13" s="85"/>
      <c r="C13" s="85" t="s">
        <v>57</v>
      </c>
      <c r="D13" s="96" t="s">
        <v>83</v>
      </c>
      <c r="E13" s="85"/>
      <c r="F13" s="85"/>
    </row>
    <row r="14" spans="1:10" x14ac:dyDescent="0.35">
      <c r="A14" s="85"/>
      <c r="B14" s="85"/>
      <c r="C14" s="95" t="s">
        <v>70</v>
      </c>
      <c r="D14" s="85" t="s">
        <v>63</v>
      </c>
      <c r="E14" s="85"/>
      <c r="F14" s="85"/>
    </row>
    <row r="15" spans="1:10" x14ac:dyDescent="0.35">
      <c r="A15" s="85"/>
      <c r="B15" s="85"/>
      <c r="C15" s="85" t="s">
        <v>39</v>
      </c>
      <c r="D15" s="88" t="s">
        <v>87</v>
      </c>
      <c r="E15" s="85"/>
      <c r="F15" s="85"/>
    </row>
    <row r="16" spans="1:10" x14ac:dyDescent="0.35">
      <c r="A16" s="85"/>
      <c r="B16" s="85"/>
      <c r="D16" s="88" t="s">
        <v>96</v>
      </c>
      <c r="E16" s="85"/>
      <c r="F16" s="85"/>
    </row>
    <row r="17" spans="1:6" x14ac:dyDescent="0.35">
      <c r="A17" s="85"/>
      <c r="B17" s="85"/>
      <c r="C17" s="85"/>
      <c r="D17" s="95" t="s">
        <v>47</v>
      </c>
      <c r="E17" s="85"/>
      <c r="F17" s="85"/>
    </row>
    <row r="18" spans="1:6" x14ac:dyDescent="0.35">
      <c r="A18" s="85"/>
      <c r="B18" s="85"/>
      <c r="D18" s="88" t="s">
        <v>86</v>
      </c>
      <c r="E18" s="85"/>
      <c r="F18" s="85"/>
    </row>
    <row r="19" spans="1:6" x14ac:dyDescent="0.35">
      <c r="A19" s="85"/>
      <c r="B19" s="85"/>
      <c r="D19" s="85" t="s">
        <v>84</v>
      </c>
      <c r="E19" s="85"/>
      <c r="F19" s="85"/>
    </row>
    <row r="20" spans="1:6" x14ac:dyDescent="0.35">
      <c r="A20" s="85"/>
      <c r="B20" s="85"/>
      <c r="C20" s="85"/>
      <c r="D20" s="95" t="s">
        <v>48</v>
      </c>
      <c r="E20" s="85"/>
      <c r="F20" s="85"/>
    </row>
    <row r="21" spans="1:6" x14ac:dyDescent="0.35">
      <c r="A21" s="85"/>
      <c r="B21" s="85"/>
      <c r="D21" s="91" t="s">
        <v>56</v>
      </c>
      <c r="E21" s="85"/>
      <c r="F21" s="85"/>
    </row>
    <row r="22" spans="1:6" x14ac:dyDescent="0.35">
      <c r="A22" s="85"/>
      <c r="B22" s="85"/>
      <c r="D22" s="85" t="s">
        <v>57</v>
      </c>
      <c r="E22" s="85"/>
      <c r="F22" s="85"/>
    </row>
    <row r="23" spans="1:6" x14ac:dyDescent="0.35">
      <c r="A23" s="85"/>
      <c r="B23" s="85"/>
      <c r="C23" s="85"/>
      <c r="D23" s="85" t="s">
        <v>65</v>
      </c>
      <c r="E23" s="85"/>
      <c r="F23" s="85"/>
    </row>
    <row r="24" spans="1:6" x14ac:dyDescent="0.35">
      <c r="A24" s="85"/>
      <c r="B24" s="85"/>
      <c r="C24" s="85"/>
      <c r="D24" s="85" t="s">
        <v>66</v>
      </c>
      <c r="E24" s="85"/>
      <c r="F24" s="85"/>
    </row>
    <row r="25" spans="1:6" x14ac:dyDescent="0.35">
      <c r="A25" s="85"/>
      <c r="B25" s="85"/>
      <c r="C25" s="85"/>
      <c r="D25" s="90" t="s">
        <v>67</v>
      </c>
      <c r="E25" s="85"/>
      <c r="F25" s="85"/>
    </row>
    <row r="26" spans="1:6" x14ac:dyDescent="0.35">
      <c r="A26" s="97"/>
      <c r="B26" s="97"/>
      <c r="C26" s="97"/>
      <c r="D26" s="97" t="s">
        <v>69</v>
      </c>
      <c r="E26" s="97"/>
      <c r="F26" s="97"/>
    </row>
    <row r="27" spans="1:6" s="86" customFormat="1" x14ac:dyDescent="0.35">
      <c r="D27" s="85" t="s">
        <v>97</v>
      </c>
    </row>
    <row r="28" spans="1:6" x14ac:dyDescent="0.35">
      <c r="A28" s="98"/>
      <c r="B28" s="98"/>
      <c r="C28" s="98"/>
      <c r="D28" s="96" t="s">
        <v>85</v>
      </c>
      <c r="E28" s="98"/>
      <c r="F28" s="98"/>
    </row>
    <row r="29" spans="1:6" x14ac:dyDescent="0.35">
      <c r="A29" s="85"/>
      <c r="B29" s="85"/>
      <c r="C29" s="85"/>
      <c r="D29" s="85" t="s">
        <v>99</v>
      </c>
      <c r="E29" s="85"/>
      <c r="F29" s="85"/>
    </row>
    <row r="30" spans="1:6" x14ac:dyDescent="0.35">
      <c r="A30" s="85"/>
      <c r="B30" s="85"/>
      <c r="C30" s="85"/>
      <c r="D30" s="88" t="s">
        <v>61</v>
      </c>
      <c r="E30" s="85"/>
      <c r="F30" s="85"/>
    </row>
    <row r="31" spans="1:6" x14ac:dyDescent="0.35">
      <c r="A31" s="85"/>
      <c r="B31" s="85"/>
      <c r="C31" s="85"/>
      <c r="D31" s="85" t="s">
        <v>88</v>
      </c>
      <c r="E31" s="85"/>
      <c r="F31" s="85"/>
    </row>
    <row r="32" spans="1:6" x14ac:dyDescent="0.35">
      <c r="A32" s="85"/>
      <c r="B32" s="85"/>
      <c r="C32" s="85"/>
      <c r="D32" s="85" t="s">
        <v>97</v>
      </c>
      <c r="E32" s="85"/>
      <c r="F32" s="85"/>
    </row>
    <row r="33" spans="1:6" x14ac:dyDescent="0.35">
      <c r="A33" s="85"/>
      <c r="B33" s="85"/>
      <c r="C33" s="85"/>
      <c r="D33" s="95" t="s">
        <v>49</v>
      </c>
      <c r="E33" s="85"/>
      <c r="F33" s="85"/>
    </row>
    <row r="34" spans="1:6" x14ac:dyDescent="0.35">
      <c r="A34" s="85"/>
      <c r="B34" s="85"/>
      <c r="C34" s="85"/>
      <c r="D34" s="85" t="s">
        <v>97</v>
      </c>
      <c r="E34" s="85"/>
      <c r="F34" s="85"/>
    </row>
    <row r="35" spans="1:6" x14ac:dyDescent="0.35">
      <c r="A35" s="85"/>
      <c r="B35" s="85"/>
      <c r="C35" s="85"/>
      <c r="D35" s="85" t="s">
        <v>58</v>
      </c>
      <c r="E35" s="85"/>
      <c r="F35" s="85"/>
    </row>
    <row r="36" spans="1:6" x14ac:dyDescent="0.35">
      <c r="A36" s="85"/>
      <c r="B36" s="85"/>
      <c r="C36" s="85"/>
      <c r="D36" s="85" t="s">
        <v>59</v>
      </c>
      <c r="E36" s="85"/>
      <c r="F36" s="85"/>
    </row>
    <row r="37" spans="1:6" x14ac:dyDescent="0.35">
      <c r="A37" s="85"/>
      <c r="B37" s="85"/>
      <c r="C37" s="85"/>
      <c r="D37" s="85" t="s">
        <v>60</v>
      </c>
      <c r="E37" s="85"/>
      <c r="F37" s="85"/>
    </row>
    <row r="38" spans="1:6" x14ac:dyDescent="0.35">
      <c r="A38" s="85"/>
      <c r="B38" s="85"/>
      <c r="C38" s="85"/>
      <c r="D38" s="91" t="s">
        <v>90</v>
      </c>
      <c r="E38" s="85"/>
      <c r="F38" s="85"/>
    </row>
    <row r="39" spans="1:6" x14ac:dyDescent="0.35">
      <c r="A39" s="85"/>
      <c r="B39" s="85"/>
      <c r="C39" s="85"/>
      <c r="D39" s="85" t="s">
        <v>89</v>
      </c>
      <c r="E39" s="85"/>
      <c r="F39" s="85"/>
    </row>
    <row r="40" spans="1:6" x14ac:dyDescent="0.35">
      <c r="A40" s="85"/>
      <c r="B40" s="85"/>
      <c r="C40" s="85"/>
      <c r="D40" s="95" t="s">
        <v>50</v>
      </c>
      <c r="E40" s="85"/>
      <c r="F40" s="85"/>
    </row>
    <row r="41" spans="1:6" x14ac:dyDescent="0.35">
      <c r="A41" s="85"/>
      <c r="B41" s="85"/>
      <c r="C41" s="85"/>
      <c r="D41" s="85" t="s">
        <v>75</v>
      </c>
      <c r="E41" s="85"/>
      <c r="F41" s="85"/>
    </row>
    <row r="42" spans="1:6" x14ac:dyDescent="0.35">
      <c r="A42" s="85"/>
      <c r="B42" s="85"/>
      <c r="C42" s="85"/>
      <c r="D42" s="96" t="s">
        <v>91</v>
      </c>
      <c r="E42" s="85"/>
      <c r="F42" s="85"/>
    </row>
    <row r="43" spans="1:6" x14ac:dyDescent="0.35">
      <c r="A43" s="97"/>
      <c r="B43" s="97"/>
      <c r="C43" s="97"/>
      <c r="D43" s="97" t="s">
        <v>92</v>
      </c>
      <c r="E43" s="97"/>
      <c r="F43" s="97"/>
    </row>
    <row r="44" spans="1:6" s="86" customFormat="1" x14ac:dyDescent="0.35">
      <c r="A44" s="85"/>
      <c r="B44" s="85"/>
      <c r="C44" s="85"/>
      <c r="D44" s="85" t="s">
        <v>93</v>
      </c>
      <c r="E44" s="85"/>
      <c r="F44" s="85"/>
    </row>
    <row r="45" spans="1:6" s="86" customFormat="1" x14ac:dyDescent="0.35">
      <c r="D45" s="85" t="s">
        <v>100</v>
      </c>
    </row>
    <row r="46" spans="1:6" x14ac:dyDescent="0.35">
      <c r="A46" s="98"/>
      <c r="B46" s="98"/>
      <c r="C46" s="98"/>
      <c r="D46" s="99" t="s">
        <v>95</v>
      </c>
      <c r="E46" s="98"/>
      <c r="F46" s="98"/>
    </row>
    <row r="47" spans="1:6" x14ac:dyDescent="0.35">
      <c r="A47" s="85"/>
      <c r="B47" s="85"/>
      <c r="C47" s="85"/>
      <c r="D47" s="88" t="s">
        <v>78</v>
      </c>
      <c r="E47" s="85"/>
      <c r="F47" s="85"/>
    </row>
    <row r="48" spans="1:6" x14ac:dyDescent="0.35">
      <c r="A48" s="85"/>
      <c r="B48" s="85"/>
      <c r="C48" s="85"/>
      <c r="D48" s="85"/>
      <c r="E48" s="85"/>
      <c r="F48" s="85"/>
    </row>
    <row r="49" spans="1:6" x14ac:dyDescent="0.35">
      <c r="A49" s="85"/>
      <c r="B49" s="85"/>
      <c r="C49" s="85"/>
      <c r="D49" s="85"/>
      <c r="E49" s="85"/>
      <c r="F49" s="85"/>
    </row>
    <row r="50" spans="1:6" x14ac:dyDescent="0.35">
      <c r="A50" s="85"/>
      <c r="B50" s="85"/>
      <c r="C50" s="85"/>
      <c r="D50" s="89"/>
      <c r="E50" s="85"/>
      <c r="F50" s="85"/>
    </row>
    <row r="51" spans="1:6" x14ac:dyDescent="0.35">
      <c r="A51" s="85"/>
      <c r="B51" s="85"/>
      <c r="C51" s="85"/>
      <c r="D51" s="85"/>
      <c r="E51" s="85"/>
      <c r="F51" s="85"/>
    </row>
    <row r="52" spans="1:6" x14ac:dyDescent="0.35">
      <c r="A52" s="85"/>
      <c r="B52" s="85"/>
      <c r="C52" s="85"/>
      <c r="D52" s="88"/>
      <c r="E52" s="85"/>
      <c r="F52" s="85"/>
    </row>
    <row r="53" spans="1:6" x14ac:dyDescent="0.35">
      <c r="A53" s="85"/>
      <c r="B53" s="85"/>
      <c r="C53" s="85"/>
      <c r="D53" s="87"/>
      <c r="E53" s="85"/>
      <c r="F53" s="85"/>
    </row>
    <row r="54" spans="1:6" x14ac:dyDescent="0.35">
      <c r="A54" s="85"/>
      <c r="B54" s="85"/>
      <c r="C54" s="85"/>
      <c r="D54" s="88"/>
      <c r="E54" s="85"/>
      <c r="F54" s="85"/>
    </row>
    <row r="55" spans="1:6" x14ac:dyDescent="0.35">
      <c r="A55" s="85"/>
      <c r="B55" s="85"/>
      <c r="C55" s="85"/>
      <c r="D55" s="85"/>
      <c r="E55" s="85"/>
      <c r="F55" s="85"/>
    </row>
    <row r="56" spans="1:6" x14ac:dyDescent="0.35">
      <c r="A56" s="85"/>
      <c r="B56" s="85"/>
      <c r="C56" s="85"/>
      <c r="D56" s="87"/>
      <c r="E56" s="85"/>
      <c r="F56" s="85"/>
    </row>
    <row r="57" spans="1:6" x14ac:dyDescent="0.35">
      <c r="A57" s="85"/>
      <c r="B57" s="85"/>
      <c r="C57" s="85"/>
      <c r="D57" s="85"/>
      <c r="E57" s="85"/>
      <c r="F57" s="85"/>
    </row>
    <row r="58" spans="1:6" x14ac:dyDescent="0.35">
      <c r="A58" s="85"/>
      <c r="B58" s="85"/>
      <c r="C58" s="85"/>
      <c r="D58" s="85"/>
      <c r="E58" s="85"/>
      <c r="F58" s="85"/>
    </row>
    <row r="59" spans="1:6" x14ac:dyDescent="0.35">
      <c r="A59" s="85"/>
      <c r="B59" s="85"/>
      <c r="C59" s="85"/>
      <c r="D59" s="85"/>
      <c r="E59" s="85"/>
      <c r="F59" s="85"/>
    </row>
    <row r="60" spans="1:6" x14ac:dyDescent="0.35">
      <c r="A60" s="85"/>
      <c r="B60" s="85"/>
      <c r="C60" s="85"/>
      <c r="D60" s="87"/>
      <c r="E60" s="85"/>
      <c r="F60" s="85"/>
    </row>
    <row r="61" spans="1:6" x14ac:dyDescent="0.35">
      <c r="A61" s="85"/>
      <c r="B61" s="85"/>
      <c r="C61" s="85"/>
      <c r="D61" s="85"/>
      <c r="E61" s="85"/>
      <c r="F61" s="85"/>
    </row>
    <row r="62" spans="1:6" x14ac:dyDescent="0.35">
      <c r="A62" s="85"/>
      <c r="B62" s="85"/>
      <c r="C62" s="85"/>
      <c r="D62" s="85"/>
      <c r="E62" s="85"/>
      <c r="F62" s="85"/>
    </row>
    <row r="63" spans="1:6" x14ac:dyDescent="0.35">
      <c r="A63" s="85"/>
      <c r="B63" s="85"/>
      <c r="C63" s="85"/>
      <c r="D63" s="85"/>
      <c r="E63" s="85"/>
      <c r="F63" s="85"/>
    </row>
    <row r="64" spans="1:6" x14ac:dyDescent="0.35">
      <c r="A64" s="85"/>
      <c r="B64" s="85"/>
      <c r="C64" s="85"/>
      <c r="D64" s="89"/>
      <c r="E64" s="85"/>
      <c r="F64" s="85"/>
    </row>
    <row r="65" spans="1:6" x14ac:dyDescent="0.35">
      <c r="A65" s="85"/>
      <c r="B65" s="85"/>
      <c r="C65" s="85"/>
      <c r="D65" s="85"/>
      <c r="E65" s="85"/>
      <c r="F65" s="85"/>
    </row>
    <row r="66" spans="1:6" x14ac:dyDescent="0.35">
      <c r="A66" s="85"/>
      <c r="B66" s="85"/>
      <c r="C66" s="85"/>
      <c r="D66" s="88"/>
      <c r="E66" s="85"/>
      <c r="F66" s="85"/>
    </row>
    <row r="67" spans="1:6" x14ac:dyDescent="0.35">
      <c r="A67" s="85"/>
      <c r="B67" s="85"/>
      <c r="C67" s="85"/>
      <c r="D67" s="87"/>
      <c r="E67" s="85"/>
      <c r="F67" s="85"/>
    </row>
    <row r="68" spans="1:6" x14ac:dyDescent="0.35">
      <c r="A68" s="85"/>
      <c r="B68" s="85"/>
      <c r="C68" s="85"/>
      <c r="D68" s="88"/>
      <c r="E68" s="85"/>
      <c r="F68" s="85"/>
    </row>
    <row r="69" spans="1:6" x14ac:dyDescent="0.35">
      <c r="A69" s="85"/>
      <c r="B69" s="85"/>
      <c r="C69" s="85"/>
      <c r="D69" s="85"/>
      <c r="E69" s="85"/>
      <c r="F69" s="85"/>
    </row>
    <row r="70" spans="1:6" x14ac:dyDescent="0.35">
      <c r="A70" s="85"/>
      <c r="B70" s="85"/>
      <c r="C70" s="85"/>
      <c r="D70" s="87"/>
      <c r="E70" s="85"/>
      <c r="F70" s="85"/>
    </row>
    <row r="71" spans="1:6" x14ac:dyDescent="0.35">
      <c r="A71" s="85"/>
      <c r="B71" s="85"/>
      <c r="C71" s="85"/>
      <c r="D71" s="85"/>
      <c r="E71" s="85"/>
      <c r="F71" s="85"/>
    </row>
    <row r="72" spans="1:6" x14ac:dyDescent="0.35">
      <c r="A72" s="85"/>
      <c r="B72" s="85"/>
      <c r="C72" s="85"/>
      <c r="D72" s="85"/>
      <c r="E72" s="85"/>
      <c r="F72" s="85"/>
    </row>
    <row r="73" spans="1:6" x14ac:dyDescent="0.35">
      <c r="A73" s="85"/>
      <c r="B73" s="85"/>
      <c r="C73" s="85"/>
      <c r="D73" s="85"/>
      <c r="E73" s="85"/>
      <c r="F73" s="85"/>
    </row>
    <row r="74" spans="1:6" x14ac:dyDescent="0.35">
      <c r="A74" s="85"/>
      <c r="B74" s="85"/>
      <c r="C74" s="85"/>
      <c r="D74" s="87"/>
      <c r="E74" s="85"/>
      <c r="F74" s="85"/>
    </row>
    <row r="75" spans="1:6" x14ac:dyDescent="0.35">
      <c r="A75" s="85"/>
      <c r="B75" s="85"/>
      <c r="C75" s="85"/>
      <c r="D75" s="85"/>
      <c r="E75" s="85"/>
      <c r="F75" s="85"/>
    </row>
    <row r="76" spans="1:6" x14ac:dyDescent="0.35">
      <c r="A76" s="85"/>
      <c r="B76" s="85"/>
      <c r="C76" s="85"/>
      <c r="D76" s="85"/>
      <c r="E76" s="85"/>
      <c r="F76" s="85"/>
    </row>
    <row r="77" spans="1:6" x14ac:dyDescent="0.35">
      <c r="A77" s="85"/>
      <c r="B77" s="85"/>
      <c r="C77" s="85"/>
      <c r="D77" s="85"/>
      <c r="E77" s="85"/>
      <c r="F77" s="85"/>
    </row>
    <row r="78" spans="1:6" x14ac:dyDescent="0.35">
      <c r="A78" s="85"/>
      <c r="B78" s="85"/>
      <c r="C78" s="85"/>
      <c r="D78" s="89"/>
      <c r="E78" s="85"/>
      <c r="F78" s="85"/>
    </row>
    <row r="79" spans="1:6" x14ac:dyDescent="0.35">
      <c r="A79" s="85"/>
      <c r="B79" s="85"/>
      <c r="C79" s="85"/>
      <c r="D79" s="85"/>
      <c r="E79" s="85"/>
      <c r="F79" s="85"/>
    </row>
    <row r="80" spans="1:6" x14ac:dyDescent="0.35">
      <c r="A80" s="85"/>
      <c r="B80" s="85"/>
      <c r="C80" s="85"/>
      <c r="D80" s="88"/>
      <c r="E80" s="85"/>
      <c r="F80" s="85"/>
    </row>
    <row r="81" spans="1:6" x14ac:dyDescent="0.35">
      <c r="A81" s="85"/>
      <c r="B81" s="85"/>
      <c r="C81" s="85"/>
      <c r="D81" s="87"/>
      <c r="E81" s="85"/>
      <c r="F81" s="85"/>
    </row>
    <row r="82" spans="1:6" x14ac:dyDescent="0.35">
      <c r="A82" s="85"/>
      <c r="B82" s="85"/>
      <c r="C82" s="85"/>
      <c r="D82" s="88"/>
      <c r="E82" s="85"/>
      <c r="F82" s="85"/>
    </row>
    <row r="83" spans="1:6" x14ac:dyDescent="0.35">
      <c r="A83" s="85"/>
      <c r="B83" s="85"/>
      <c r="C83" s="85"/>
      <c r="D83" s="85"/>
      <c r="E83" s="85"/>
      <c r="F83" s="85"/>
    </row>
    <row r="84" spans="1:6" x14ac:dyDescent="0.35">
      <c r="A84" s="85"/>
      <c r="B84" s="85"/>
      <c r="C84" s="85"/>
      <c r="D84" s="87"/>
      <c r="E84" s="85"/>
      <c r="F84" s="85"/>
    </row>
    <row r="85" spans="1:6" x14ac:dyDescent="0.35">
      <c r="A85" s="85"/>
      <c r="B85" s="85"/>
      <c r="C85" s="85"/>
      <c r="D85" s="85"/>
      <c r="E85" s="85"/>
      <c r="F85" s="85"/>
    </row>
    <row r="86" spans="1:6" x14ac:dyDescent="0.35">
      <c r="A86" s="85"/>
      <c r="B86" s="85"/>
      <c r="C86" s="85"/>
      <c r="D86" s="85"/>
      <c r="E86" s="85"/>
      <c r="F86" s="85"/>
    </row>
    <row r="87" spans="1:6" x14ac:dyDescent="0.35">
      <c r="A87" s="85"/>
      <c r="B87" s="85"/>
      <c r="C87" s="85"/>
      <c r="D87" s="85"/>
      <c r="E87" s="85"/>
      <c r="F87" s="85"/>
    </row>
    <row r="88" spans="1:6" x14ac:dyDescent="0.35">
      <c r="A88" s="85"/>
      <c r="B88" s="85"/>
      <c r="C88" s="85"/>
      <c r="D88" s="85"/>
      <c r="E88" s="85"/>
      <c r="F88" s="85"/>
    </row>
    <row r="89" spans="1:6" x14ac:dyDescent="0.35">
      <c r="A89" s="85"/>
      <c r="B89" s="85"/>
      <c r="C89" s="85"/>
      <c r="D89" s="85"/>
      <c r="E89" s="85"/>
      <c r="F89" s="85"/>
    </row>
    <row r="90" spans="1:6" x14ac:dyDescent="0.35">
      <c r="A90" s="85"/>
      <c r="B90" s="85"/>
      <c r="C90" s="85"/>
      <c r="D90" s="85"/>
      <c r="E90" s="85"/>
      <c r="F90" s="85"/>
    </row>
    <row r="91" spans="1:6" x14ac:dyDescent="0.35">
      <c r="A91" s="85"/>
      <c r="B91" s="85"/>
      <c r="C91" s="85"/>
      <c r="D91" s="85"/>
      <c r="E91" s="85"/>
      <c r="F91" s="85"/>
    </row>
    <row r="92" spans="1:6" x14ac:dyDescent="0.35">
      <c r="A92" s="85"/>
      <c r="B92" s="85"/>
      <c r="C92" s="85"/>
      <c r="D92" s="85"/>
      <c r="E92" s="85"/>
      <c r="F92" s="85"/>
    </row>
    <row r="93" spans="1:6" x14ac:dyDescent="0.35">
      <c r="A93" s="85"/>
      <c r="B93" s="85"/>
      <c r="C93" s="85"/>
      <c r="D93" s="85"/>
      <c r="E93" s="85"/>
      <c r="F93" s="85"/>
    </row>
    <row r="94" spans="1:6" x14ac:dyDescent="0.35">
      <c r="A94" s="85"/>
      <c r="B94" s="85"/>
      <c r="C94" s="85"/>
      <c r="D94" s="85"/>
      <c r="E94" s="85"/>
      <c r="F94" s="85"/>
    </row>
    <row r="95" spans="1:6" x14ac:dyDescent="0.35">
      <c r="A95" s="85"/>
      <c r="B95" s="85"/>
      <c r="C95" s="85"/>
      <c r="D95" s="85"/>
      <c r="E95" s="85"/>
      <c r="F95" s="85"/>
    </row>
    <row r="96" spans="1:6" x14ac:dyDescent="0.35">
      <c r="A96" s="85"/>
      <c r="B96" s="85"/>
      <c r="C96" s="85"/>
      <c r="D96" s="85"/>
      <c r="E96" s="85"/>
      <c r="F96" s="85"/>
    </row>
    <row r="97" spans="1:6" x14ac:dyDescent="0.35">
      <c r="A97" s="85"/>
      <c r="B97" s="85"/>
      <c r="C97" s="85"/>
      <c r="D97" s="85"/>
      <c r="E97" s="85"/>
      <c r="F97" s="85"/>
    </row>
    <row r="98" spans="1:6" x14ac:dyDescent="0.35">
      <c r="A98" s="85"/>
      <c r="B98" s="85"/>
      <c r="C98" s="85"/>
      <c r="D98" s="85"/>
      <c r="E98" s="85"/>
      <c r="F98" s="85"/>
    </row>
    <row r="99" spans="1:6" x14ac:dyDescent="0.35">
      <c r="A99" s="85"/>
      <c r="B99" s="85"/>
      <c r="C99" s="85"/>
      <c r="D99" s="85"/>
      <c r="E99" s="85"/>
      <c r="F99" s="85"/>
    </row>
    <row r="100" spans="1:6" x14ac:dyDescent="0.35">
      <c r="A100" s="85"/>
      <c r="B100" s="85"/>
      <c r="C100" s="85"/>
      <c r="D100" s="85"/>
      <c r="E100" s="85"/>
      <c r="F100" s="85"/>
    </row>
    <row r="101" spans="1:6" x14ac:dyDescent="0.35">
      <c r="A101" s="85"/>
      <c r="B101" s="85"/>
      <c r="C101" s="85"/>
      <c r="D101" s="85"/>
      <c r="E101" s="85"/>
      <c r="F101" s="85"/>
    </row>
    <row r="102" spans="1:6" x14ac:dyDescent="0.35">
      <c r="A102" s="85"/>
      <c r="B102" s="85"/>
      <c r="C102" s="85"/>
      <c r="D102" s="85"/>
      <c r="E102" s="85"/>
      <c r="F102" s="85"/>
    </row>
    <row r="103" spans="1:6" x14ac:dyDescent="0.35">
      <c r="A103" s="85"/>
      <c r="B103" s="85"/>
      <c r="C103" s="85"/>
      <c r="D103" s="85"/>
      <c r="E103" s="85"/>
      <c r="F103" s="85"/>
    </row>
    <row r="104" spans="1:6" x14ac:dyDescent="0.35">
      <c r="A104" s="85"/>
      <c r="B104" s="85"/>
      <c r="C104" s="85"/>
      <c r="D104" s="85"/>
      <c r="E104" s="85"/>
      <c r="F104" s="85"/>
    </row>
    <row r="105" spans="1:6" x14ac:dyDescent="0.35">
      <c r="A105" s="85"/>
      <c r="B105" s="85"/>
      <c r="C105" s="85"/>
      <c r="D105" s="85"/>
      <c r="E105" s="85"/>
      <c r="F105" s="85"/>
    </row>
    <row r="106" spans="1:6" x14ac:dyDescent="0.35">
      <c r="A106" s="85"/>
      <c r="B106" s="85"/>
      <c r="C106" s="85"/>
      <c r="D106" s="85"/>
      <c r="E106" s="85"/>
      <c r="F106" s="85"/>
    </row>
    <row r="107" spans="1:6" x14ac:dyDescent="0.35">
      <c r="A107" s="85"/>
      <c r="B107" s="85"/>
      <c r="C107" s="85"/>
      <c r="D107" s="85"/>
      <c r="E107" s="85"/>
      <c r="F107" s="85"/>
    </row>
    <row r="108" spans="1:6" x14ac:dyDescent="0.35">
      <c r="A108" s="85"/>
      <c r="B108" s="85"/>
      <c r="C108" s="85"/>
      <c r="D108" s="85"/>
      <c r="E108" s="85"/>
      <c r="F108" s="85"/>
    </row>
    <row r="109" spans="1:6" x14ac:dyDescent="0.35">
      <c r="A109" s="85"/>
      <c r="B109" s="85"/>
      <c r="C109" s="85"/>
      <c r="D109" s="85"/>
      <c r="E109" s="85"/>
      <c r="F109" s="85"/>
    </row>
    <row r="110" spans="1:6" x14ac:dyDescent="0.35">
      <c r="A110" s="85"/>
      <c r="B110" s="85"/>
      <c r="C110" s="85"/>
      <c r="D110" s="85"/>
      <c r="E110" s="85"/>
      <c r="F110" s="85"/>
    </row>
    <row r="111" spans="1:6" x14ac:dyDescent="0.35">
      <c r="A111" s="85"/>
      <c r="B111" s="85"/>
      <c r="C111" s="85"/>
      <c r="D111" s="85"/>
      <c r="E111" s="85"/>
      <c r="F111" s="85"/>
    </row>
    <row r="112" spans="1:6" x14ac:dyDescent="0.35">
      <c r="A112" s="85"/>
      <c r="B112" s="85"/>
      <c r="C112" s="85"/>
      <c r="D112" s="85"/>
      <c r="E112" s="85"/>
      <c r="F112" s="85"/>
    </row>
    <row r="113" spans="1:6" x14ac:dyDescent="0.35">
      <c r="A113" s="85"/>
      <c r="B113" s="85"/>
      <c r="C113" s="85"/>
      <c r="D113" s="85"/>
      <c r="E113" s="85"/>
      <c r="F113" s="85"/>
    </row>
    <row r="114" spans="1:6" x14ac:dyDescent="0.35">
      <c r="A114" s="85"/>
      <c r="B114" s="85"/>
      <c r="C114" s="85"/>
      <c r="D114" s="85"/>
      <c r="E114" s="85"/>
      <c r="F114" s="85"/>
    </row>
    <row r="115" spans="1:6" x14ac:dyDescent="0.35">
      <c r="A115" s="85"/>
      <c r="B115" s="85"/>
      <c r="C115" s="85"/>
      <c r="D115" s="85"/>
      <c r="E115" s="85"/>
      <c r="F115" s="85"/>
    </row>
    <row r="116" spans="1:6" x14ac:dyDescent="0.35">
      <c r="A116" s="85"/>
      <c r="B116" s="85"/>
      <c r="C116" s="85"/>
      <c r="D116" s="85"/>
      <c r="E116" s="85"/>
      <c r="F116" s="85"/>
    </row>
    <row r="117" spans="1:6" x14ac:dyDescent="0.35">
      <c r="A117" s="85"/>
      <c r="B117" s="85"/>
      <c r="C117" s="85"/>
      <c r="D117" s="85"/>
      <c r="E117" s="85"/>
      <c r="F117" s="85"/>
    </row>
    <row r="118" spans="1:6" x14ac:dyDescent="0.35">
      <c r="A118" s="85"/>
      <c r="B118" s="85"/>
      <c r="C118" s="85"/>
      <c r="D118" s="85"/>
      <c r="E118" s="85"/>
      <c r="F118" s="85"/>
    </row>
    <row r="119" spans="1:6" x14ac:dyDescent="0.35">
      <c r="A119" s="85"/>
      <c r="B119" s="85"/>
      <c r="C119" s="85"/>
      <c r="D119" s="85"/>
      <c r="E119" s="85"/>
      <c r="F119" s="85"/>
    </row>
    <row r="120" spans="1:6" x14ac:dyDescent="0.35">
      <c r="A120" s="85"/>
      <c r="B120" s="85"/>
      <c r="C120" s="85"/>
      <c r="D120" s="85"/>
      <c r="E120" s="85"/>
      <c r="F120" s="85"/>
    </row>
    <row r="121" spans="1:6" x14ac:dyDescent="0.35">
      <c r="A121" s="85"/>
      <c r="B121" s="85"/>
      <c r="C121" s="85"/>
      <c r="D121" s="85"/>
      <c r="E121" s="85"/>
      <c r="F121" s="85"/>
    </row>
    <row r="122" spans="1:6" x14ac:dyDescent="0.35">
      <c r="A122" s="85"/>
      <c r="B122" s="85"/>
      <c r="C122" s="85"/>
      <c r="D122" s="85"/>
      <c r="E122" s="85"/>
      <c r="F122" s="85"/>
    </row>
    <row r="123" spans="1:6" x14ac:dyDescent="0.35">
      <c r="A123" s="85"/>
      <c r="B123" s="85"/>
      <c r="C123" s="85"/>
      <c r="D123" s="85"/>
      <c r="E123" s="85"/>
      <c r="F123" s="85"/>
    </row>
    <row r="124" spans="1:6" x14ac:dyDescent="0.35">
      <c r="A124" s="85"/>
      <c r="B124" s="85"/>
      <c r="C124" s="85"/>
      <c r="D124" s="85"/>
      <c r="E124" s="85"/>
      <c r="F124" s="85"/>
    </row>
    <row r="125" spans="1:6" x14ac:dyDescent="0.35">
      <c r="A125" s="85"/>
      <c r="B125" s="85"/>
      <c r="C125" s="85"/>
      <c r="D125" s="85"/>
      <c r="E125" s="85"/>
      <c r="F125" s="85"/>
    </row>
    <row r="126" spans="1:6" x14ac:dyDescent="0.35">
      <c r="A126" s="85"/>
      <c r="B126" s="85"/>
      <c r="C126" s="85"/>
      <c r="D126" s="85"/>
      <c r="E126" s="85"/>
      <c r="F126" s="85"/>
    </row>
    <row r="127" spans="1:6" x14ac:dyDescent="0.35">
      <c r="A127" s="85"/>
      <c r="B127" s="85"/>
      <c r="C127" s="85"/>
      <c r="D127" s="85"/>
      <c r="E127" s="85"/>
      <c r="F127" s="85"/>
    </row>
    <row r="128" spans="1:6" x14ac:dyDescent="0.35">
      <c r="A128" s="85"/>
      <c r="B128" s="85"/>
      <c r="C128" s="85"/>
      <c r="D128" s="85"/>
      <c r="E128" s="85"/>
      <c r="F128" s="85"/>
    </row>
    <row r="129" spans="1:6" x14ac:dyDescent="0.35">
      <c r="A129" s="85"/>
      <c r="B129" s="85"/>
      <c r="C129" s="85"/>
      <c r="D129" s="85"/>
      <c r="E129" s="85"/>
      <c r="F129" s="85"/>
    </row>
    <row r="130" spans="1:6" x14ac:dyDescent="0.35">
      <c r="A130" s="85"/>
      <c r="B130" s="85"/>
      <c r="C130" s="85"/>
      <c r="D130" s="85"/>
      <c r="E130" s="85"/>
      <c r="F130" s="85"/>
    </row>
    <row r="131" spans="1:6" x14ac:dyDescent="0.35">
      <c r="A131" s="85"/>
      <c r="B131" s="85"/>
      <c r="C131" s="85"/>
      <c r="D131" s="85"/>
      <c r="E131" s="85"/>
      <c r="F131" s="85"/>
    </row>
    <row r="132" spans="1:6" x14ac:dyDescent="0.35">
      <c r="A132" s="85"/>
      <c r="B132" s="85"/>
      <c r="C132" s="85"/>
      <c r="D132" s="85"/>
      <c r="E132" s="85"/>
      <c r="F132" s="85"/>
    </row>
    <row r="133" spans="1:6" x14ac:dyDescent="0.35">
      <c r="A133" s="85"/>
      <c r="B133" s="85"/>
      <c r="C133" s="85"/>
      <c r="D133" s="85"/>
      <c r="E133" s="85"/>
      <c r="F133" s="85"/>
    </row>
    <row r="134" spans="1:6" x14ac:dyDescent="0.35">
      <c r="A134" s="85"/>
      <c r="B134" s="85"/>
      <c r="C134" s="85"/>
      <c r="D134" s="85"/>
      <c r="E134" s="85"/>
      <c r="F134" s="85"/>
    </row>
    <row r="135" spans="1:6" x14ac:dyDescent="0.35">
      <c r="A135" s="85"/>
      <c r="B135" s="85"/>
      <c r="C135" s="85"/>
      <c r="D135" s="85"/>
      <c r="E135" s="85"/>
      <c r="F135" s="85"/>
    </row>
    <row r="136" spans="1:6" x14ac:dyDescent="0.35">
      <c r="A136" s="85"/>
      <c r="B136" s="85"/>
      <c r="C136" s="85"/>
      <c r="D136" s="85"/>
      <c r="E136" s="85"/>
      <c r="F136" s="85"/>
    </row>
    <row r="137" spans="1:6" x14ac:dyDescent="0.35">
      <c r="A137" s="85"/>
      <c r="B137" s="85"/>
      <c r="C137" s="85"/>
      <c r="D137" s="85"/>
      <c r="E137" s="85"/>
      <c r="F137" s="85"/>
    </row>
    <row r="138" spans="1:6" x14ac:dyDescent="0.35">
      <c r="A138" s="85"/>
      <c r="B138" s="85"/>
      <c r="C138" s="85"/>
      <c r="D138" s="85"/>
      <c r="E138" s="85"/>
      <c r="F138" s="85"/>
    </row>
    <row r="139" spans="1:6" x14ac:dyDescent="0.35">
      <c r="A139" s="85"/>
      <c r="B139" s="85"/>
      <c r="C139" s="85"/>
      <c r="D139" s="85"/>
      <c r="E139" s="85"/>
      <c r="F139" s="85"/>
    </row>
    <row r="140" spans="1:6" x14ac:dyDescent="0.35">
      <c r="A140" s="85"/>
      <c r="B140" s="85"/>
      <c r="C140" s="85"/>
      <c r="D140" s="85"/>
      <c r="E140" s="85"/>
      <c r="F140" s="85"/>
    </row>
    <row r="141" spans="1:6" x14ac:dyDescent="0.35">
      <c r="A141" s="85"/>
      <c r="B141" s="85"/>
      <c r="C141" s="85"/>
      <c r="D141" s="85"/>
      <c r="E141" s="85"/>
      <c r="F141" s="85"/>
    </row>
    <row r="142" spans="1:6" x14ac:dyDescent="0.35">
      <c r="A142" s="85"/>
      <c r="B142" s="85"/>
      <c r="C142" s="85"/>
      <c r="D142" s="85"/>
      <c r="E142" s="85"/>
      <c r="F142" s="85"/>
    </row>
    <row r="143" spans="1:6" x14ac:dyDescent="0.35">
      <c r="A143" s="85"/>
      <c r="B143" s="85"/>
      <c r="C143" s="85"/>
      <c r="D143" s="85"/>
      <c r="E143" s="85"/>
      <c r="F143" s="85"/>
    </row>
    <row r="144" spans="1:6" x14ac:dyDescent="0.35">
      <c r="A144" s="85"/>
      <c r="B144" s="85"/>
      <c r="C144" s="85"/>
      <c r="D144" s="85"/>
      <c r="E144" s="85"/>
      <c r="F144" s="85"/>
    </row>
    <row r="145" spans="1:6" x14ac:dyDescent="0.35">
      <c r="A145" s="85"/>
      <c r="B145" s="85"/>
      <c r="C145" s="85"/>
      <c r="D145" s="85"/>
      <c r="E145" s="85"/>
      <c r="F145" s="85"/>
    </row>
    <row r="146" spans="1:6" x14ac:dyDescent="0.35">
      <c r="A146" s="85"/>
      <c r="B146" s="85"/>
      <c r="C146" s="85"/>
      <c r="D146" s="85"/>
      <c r="E146" s="85"/>
      <c r="F146" s="85"/>
    </row>
    <row r="147" spans="1:6" x14ac:dyDescent="0.35">
      <c r="A147" s="85"/>
      <c r="B147" s="85"/>
      <c r="C147" s="85"/>
      <c r="D147" s="85"/>
      <c r="E147" s="85"/>
      <c r="F147" s="85"/>
    </row>
    <row r="148" spans="1:6" x14ac:dyDescent="0.35">
      <c r="A148" s="85"/>
      <c r="B148" s="85"/>
      <c r="C148" s="85"/>
      <c r="D148" s="85"/>
      <c r="E148" s="85"/>
      <c r="F148" s="85"/>
    </row>
    <row r="149" spans="1:6" x14ac:dyDescent="0.35">
      <c r="A149" s="85"/>
      <c r="B149" s="85"/>
      <c r="C149" s="85"/>
      <c r="D149" s="85"/>
      <c r="E149" s="85"/>
      <c r="F149" s="85"/>
    </row>
    <row r="150" spans="1:6" x14ac:dyDescent="0.35">
      <c r="A150" s="85"/>
      <c r="B150" s="85"/>
      <c r="C150" s="85"/>
      <c r="D150" s="85"/>
      <c r="E150" s="85"/>
      <c r="F150" s="85"/>
    </row>
    <row r="151" spans="1:6" x14ac:dyDescent="0.35">
      <c r="A151" s="85"/>
      <c r="B151" s="85"/>
      <c r="C151" s="85"/>
      <c r="D151" s="85"/>
      <c r="E151" s="85"/>
      <c r="F151" s="85"/>
    </row>
    <row r="152" spans="1:6" x14ac:dyDescent="0.35">
      <c r="A152" s="85"/>
      <c r="B152" s="85"/>
      <c r="C152" s="85"/>
      <c r="D152" s="85"/>
      <c r="E152" s="85"/>
      <c r="F152" s="85"/>
    </row>
    <row r="153" spans="1:6" x14ac:dyDescent="0.35">
      <c r="A153" s="85"/>
      <c r="B153" s="85"/>
      <c r="C153" s="85"/>
      <c r="D153" s="85"/>
      <c r="E153" s="85"/>
      <c r="F153" s="85"/>
    </row>
    <row r="154" spans="1:6" x14ac:dyDescent="0.35">
      <c r="A154" s="85"/>
      <c r="B154" s="85"/>
      <c r="C154" s="85"/>
      <c r="D154" s="85"/>
      <c r="E154" s="85"/>
      <c r="F154" s="85"/>
    </row>
    <row r="155" spans="1:6" x14ac:dyDescent="0.35">
      <c r="A155" s="85"/>
      <c r="B155" s="85"/>
      <c r="C155" s="85"/>
      <c r="D155" s="85"/>
      <c r="E155" s="85"/>
      <c r="F155" s="85"/>
    </row>
    <row r="156" spans="1:6" x14ac:dyDescent="0.35">
      <c r="A156" s="85"/>
      <c r="B156" s="85"/>
      <c r="C156" s="85"/>
      <c r="D156" s="85"/>
      <c r="E156" s="85"/>
      <c r="F156" s="85"/>
    </row>
    <row r="157" spans="1:6" x14ac:dyDescent="0.35">
      <c r="A157" s="85"/>
      <c r="B157" s="85"/>
      <c r="C157" s="85"/>
      <c r="D157" s="85"/>
      <c r="E157" s="85"/>
      <c r="F157" s="85"/>
    </row>
    <row r="158" spans="1:6" x14ac:dyDescent="0.35">
      <c r="A158" s="85"/>
      <c r="B158" s="85"/>
      <c r="C158" s="85"/>
      <c r="D158" s="85"/>
      <c r="E158" s="85"/>
      <c r="F158" s="85"/>
    </row>
    <row r="159" spans="1:6" x14ac:dyDescent="0.35">
      <c r="A159" s="85"/>
      <c r="B159" s="85"/>
      <c r="C159" s="85"/>
      <c r="D159" s="85"/>
      <c r="E159" s="85"/>
      <c r="F159" s="85"/>
    </row>
    <row r="160" spans="1:6" x14ac:dyDescent="0.35">
      <c r="A160" s="85"/>
      <c r="B160" s="85"/>
      <c r="C160" s="85"/>
      <c r="D160" s="85"/>
      <c r="E160" s="85"/>
      <c r="F160" s="85"/>
    </row>
    <row r="161" spans="1:6" x14ac:dyDescent="0.35">
      <c r="A161" s="85"/>
      <c r="B161" s="85"/>
      <c r="C161" s="85"/>
      <c r="D161" s="85"/>
      <c r="E161" s="85"/>
      <c r="F161" s="85"/>
    </row>
    <row r="162" spans="1:6" x14ac:dyDescent="0.35">
      <c r="A162" s="85"/>
      <c r="B162" s="85"/>
      <c r="C162" s="85"/>
      <c r="D162" s="85"/>
      <c r="E162" s="85"/>
      <c r="F162" s="85"/>
    </row>
    <row r="163" spans="1:6" x14ac:dyDescent="0.35">
      <c r="A163" s="85"/>
      <c r="B163" s="85"/>
      <c r="C163" s="85"/>
      <c r="D163" s="85"/>
      <c r="E163" s="85"/>
      <c r="F163" s="85"/>
    </row>
    <row r="164" spans="1:6" x14ac:dyDescent="0.35">
      <c r="A164" s="85"/>
      <c r="B164" s="85"/>
      <c r="C164" s="85"/>
      <c r="D164" s="85"/>
      <c r="E164" s="85"/>
      <c r="F164" s="85"/>
    </row>
    <row r="165" spans="1:6" x14ac:dyDescent="0.35">
      <c r="A165" s="85"/>
      <c r="B165" s="85"/>
      <c r="C165" s="85"/>
      <c r="D165" s="85"/>
      <c r="E165" s="85"/>
      <c r="F165" s="85"/>
    </row>
    <row r="166" spans="1:6" x14ac:dyDescent="0.35">
      <c r="A166" s="85"/>
      <c r="B166" s="85"/>
      <c r="C166" s="85"/>
      <c r="D166" s="85"/>
      <c r="E166" s="85"/>
      <c r="F166" s="85"/>
    </row>
    <row r="167" spans="1:6" x14ac:dyDescent="0.35">
      <c r="A167" s="85"/>
      <c r="B167" s="85"/>
      <c r="C167" s="85"/>
      <c r="D167" s="85"/>
      <c r="E167" s="85"/>
      <c r="F167" s="85"/>
    </row>
    <row r="168" spans="1:6" x14ac:dyDescent="0.35">
      <c r="A168" s="85"/>
      <c r="B168" s="85"/>
      <c r="C168" s="85"/>
      <c r="D168" s="85"/>
      <c r="E168" s="85"/>
      <c r="F168" s="85"/>
    </row>
    <row r="169" spans="1:6" x14ac:dyDescent="0.35">
      <c r="A169" s="85"/>
      <c r="B169" s="85"/>
      <c r="C169" s="85"/>
      <c r="D169" s="85"/>
      <c r="E169" s="85"/>
      <c r="F169" s="85"/>
    </row>
    <row r="170" spans="1:6" x14ac:dyDescent="0.35">
      <c r="A170" s="85"/>
      <c r="B170" s="85"/>
      <c r="C170" s="85"/>
      <c r="D170" s="85"/>
      <c r="E170" s="85"/>
      <c r="F170" s="85"/>
    </row>
    <row r="171" spans="1:6" x14ac:dyDescent="0.35">
      <c r="A171" s="85"/>
      <c r="B171" s="85"/>
      <c r="C171" s="85"/>
      <c r="D171" s="85"/>
      <c r="E171" s="85"/>
      <c r="F171" s="85"/>
    </row>
    <row r="172" spans="1:6" x14ac:dyDescent="0.35">
      <c r="A172" s="85"/>
      <c r="B172" s="85"/>
      <c r="C172" s="85"/>
      <c r="D172" s="85"/>
      <c r="E172" s="85"/>
      <c r="F172" s="85"/>
    </row>
    <row r="173" spans="1:6" x14ac:dyDescent="0.35">
      <c r="A173" s="85"/>
      <c r="B173" s="85"/>
      <c r="C173" s="85"/>
      <c r="D173" s="85"/>
      <c r="E173" s="85"/>
      <c r="F173" s="85"/>
    </row>
    <row r="174" spans="1:6" x14ac:dyDescent="0.35">
      <c r="A174" s="85"/>
      <c r="B174" s="85"/>
      <c r="C174" s="85"/>
      <c r="D174" s="85"/>
      <c r="E174" s="85"/>
      <c r="F174" s="85"/>
    </row>
    <row r="175" spans="1:6" x14ac:dyDescent="0.35">
      <c r="A175" s="85"/>
      <c r="B175" s="85"/>
      <c r="C175" s="85"/>
      <c r="D175" s="85"/>
      <c r="E175" s="85"/>
      <c r="F175" s="85"/>
    </row>
    <row r="176" spans="1:6" x14ac:dyDescent="0.35">
      <c r="A176" s="85"/>
      <c r="B176" s="85"/>
      <c r="C176" s="85"/>
      <c r="D176" s="85"/>
      <c r="E176" s="85"/>
      <c r="F176" s="85"/>
    </row>
    <row r="177" spans="1:6" x14ac:dyDescent="0.35">
      <c r="A177" s="85"/>
      <c r="B177" s="85"/>
      <c r="C177" s="85"/>
      <c r="D177" s="85"/>
      <c r="E177" s="85"/>
      <c r="F177" s="85"/>
    </row>
    <row r="178" spans="1:6" x14ac:dyDescent="0.35">
      <c r="A178" s="85"/>
      <c r="B178" s="85"/>
      <c r="C178" s="85"/>
      <c r="D178" s="85"/>
      <c r="E178" s="85"/>
      <c r="F178" s="85"/>
    </row>
    <row r="179" spans="1:6" x14ac:dyDescent="0.35">
      <c r="A179" s="85"/>
      <c r="B179" s="85"/>
      <c r="C179" s="85"/>
      <c r="D179" s="85"/>
      <c r="E179" s="85"/>
      <c r="F179" s="85"/>
    </row>
    <row r="180" spans="1:6" x14ac:dyDescent="0.35">
      <c r="A180" s="85"/>
      <c r="B180" s="85"/>
      <c r="C180" s="85"/>
      <c r="D180" s="85"/>
      <c r="E180" s="85"/>
      <c r="F180" s="85"/>
    </row>
    <row r="181" spans="1:6" x14ac:dyDescent="0.35">
      <c r="A181" s="85"/>
      <c r="B181" s="85"/>
      <c r="C181" s="85"/>
      <c r="D181" s="85"/>
      <c r="E181" s="85"/>
      <c r="F181" s="85"/>
    </row>
    <row r="182" spans="1:6" x14ac:dyDescent="0.35">
      <c r="A182" s="85"/>
      <c r="B182" s="85"/>
      <c r="C182" s="85"/>
      <c r="D182" s="85"/>
      <c r="E182" s="85"/>
      <c r="F182" s="85"/>
    </row>
    <row r="183" spans="1:6" x14ac:dyDescent="0.35">
      <c r="A183" s="85"/>
      <c r="B183" s="85"/>
      <c r="C183" s="85"/>
      <c r="D183" s="85"/>
      <c r="E183" s="85"/>
      <c r="F183" s="85"/>
    </row>
    <row r="184" spans="1:6" x14ac:dyDescent="0.35">
      <c r="A184" s="85"/>
      <c r="B184" s="85"/>
      <c r="C184" s="85"/>
      <c r="D184" s="85"/>
      <c r="E184" s="85"/>
      <c r="F184" s="85"/>
    </row>
    <row r="185" spans="1:6" x14ac:dyDescent="0.35">
      <c r="A185" s="85"/>
      <c r="B185" s="85"/>
      <c r="C185" s="85"/>
      <c r="D185" s="85"/>
      <c r="E185" s="85"/>
      <c r="F185" s="85"/>
    </row>
    <row r="186" spans="1:6" x14ac:dyDescent="0.35">
      <c r="A186" s="85"/>
      <c r="B186" s="85"/>
      <c r="C186" s="85"/>
      <c r="D186" s="85"/>
      <c r="E186" s="85"/>
      <c r="F186" s="85"/>
    </row>
    <row r="187" spans="1:6" x14ac:dyDescent="0.35">
      <c r="A187" s="85"/>
      <c r="B187" s="85"/>
      <c r="C187" s="85"/>
      <c r="D187" s="85"/>
      <c r="E187" s="85"/>
      <c r="F187" s="85"/>
    </row>
    <row r="188" spans="1:6" x14ac:dyDescent="0.35">
      <c r="A188" s="85"/>
      <c r="B188" s="85"/>
      <c r="C188" s="85"/>
      <c r="D188" s="85"/>
      <c r="E188" s="85"/>
      <c r="F188" s="85"/>
    </row>
    <row r="189" spans="1:6" x14ac:dyDescent="0.35">
      <c r="A189" s="85"/>
      <c r="B189" s="85"/>
      <c r="C189" s="85"/>
      <c r="D189" s="85"/>
      <c r="E189" s="85"/>
      <c r="F189" s="85"/>
    </row>
    <row r="190" spans="1:6" x14ac:dyDescent="0.35">
      <c r="A190" s="85"/>
      <c r="B190" s="85"/>
      <c r="C190" s="85"/>
      <c r="D190" s="85"/>
      <c r="E190" s="85"/>
      <c r="F190" s="85"/>
    </row>
    <row r="191" spans="1:6" x14ac:dyDescent="0.35">
      <c r="A191" s="85"/>
      <c r="B191" s="85"/>
      <c r="C191" s="85"/>
      <c r="D191" s="85"/>
      <c r="E191" s="85"/>
      <c r="F191" s="85"/>
    </row>
    <row r="192" spans="1:6" x14ac:dyDescent="0.35">
      <c r="A192" s="85"/>
      <c r="B192" s="85"/>
      <c r="C192" s="85"/>
      <c r="D192" s="85"/>
      <c r="E192" s="85"/>
      <c r="F192" s="85"/>
    </row>
    <row r="193" spans="1:6" x14ac:dyDescent="0.35">
      <c r="A193" s="85"/>
      <c r="B193" s="85"/>
      <c r="C193" s="85"/>
      <c r="D193" s="85"/>
      <c r="E193" s="85"/>
      <c r="F193" s="85"/>
    </row>
    <row r="194" spans="1:6" x14ac:dyDescent="0.35">
      <c r="A194" s="85"/>
      <c r="B194" s="85"/>
      <c r="C194" s="85"/>
      <c r="D194" s="85"/>
      <c r="E194" s="85"/>
      <c r="F194" s="85"/>
    </row>
    <row r="195" spans="1:6" x14ac:dyDescent="0.35">
      <c r="A195" s="85"/>
      <c r="B195" s="85"/>
      <c r="C195" s="85"/>
      <c r="D195" s="85"/>
      <c r="E195" s="85"/>
      <c r="F195" s="85"/>
    </row>
    <row r="196" spans="1:6" x14ac:dyDescent="0.35">
      <c r="A196" s="85"/>
      <c r="B196" s="85"/>
      <c r="C196" s="85"/>
      <c r="D196" s="85"/>
      <c r="E196" s="85"/>
      <c r="F196" s="85"/>
    </row>
    <row r="197" spans="1:6" x14ac:dyDescent="0.35">
      <c r="A197" s="85"/>
      <c r="B197" s="85"/>
      <c r="C197" s="85"/>
      <c r="D197" s="85"/>
      <c r="E197" s="85"/>
      <c r="F197" s="85"/>
    </row>
    <row r="198" spans="1:6" x14ac:dyDescent="0.35">
      <c r="A198" s="85"/>
      <c r="B198" s="85"/>
      <c r="C198" s="85"/>
      <c r="D198" s="85"/>
      <c r="E198" s="85"/>
      <c r="F198" s="85"/>
    </row>
    <row r="199" spans="1:6" x14ac:dyDescent="0.35">
      <c r="A199" s="85"/>
      <c r="B199" s="85"/>
      <c r="C199" s="85"/>
      <c r="D199" s="85"/>
      <c r="E199" s="85"/>
      <c r="F199" s="85"/>
    </row>
    <row r="200" spans="1:6" x14ac:dyDescent="0.35">
      <c r="A200" s="85"/>
      <c r="B200" s="85"/>
      <c r="C200" s="85"/>
      <c r="D200" s="85"/>
      <c r="E200" s="85"/>
      <c r="F200" s="85"/>
    </row>
    <row r="201" spans="1:6" x14ac:dyDescent="0.35">
      <c r="A201" s="85"/>
      <c r="B201" s="85"/>
      <c r="C201" s="85"/>
      <c r="D201" s="85"/>
      <c r="E201" s="85"/>
      <c r="F201" s="85"/>
    </row>
    <row r="202" spans="1:6" x14ac:dyDescent="0.35">
      <c r="A202" s="85"/>
      <c r="B202" s="85"/>
      <c r="C202" s="85"/>
      <c r="D202" s="85"/>
      <c r="E202" s="85"/>
      <c r="F202" s="85"/>
    </row>
    <row r="203" spans="1:6" x14ac:dyDescent="0.35">
      <c r="A203" s="85"/>
      <c r="B203" s="85"/>
      <c r="C203" s="85"/>
      <c r="D203" s="85"/>
      <c r="E203" s="85"/>
      <c r="F203" s="85"/>
    </row>
    <row r="204" spans="1:6" x14ac:dyDescent="0.35">
      <c r="A204" s="85"/>
      <c r="B204" s="85"/>
      <c r="C204" s="85"/>
      <c r="D204" s="85"/>
      <c r="E204" s="85"/>
      <c r="F204" s="85"/>
    </row>
    <row r="205" spans="1:6" x14ac:dyDescent="0.35">
      <c r="A205" s="85"/>
      <c r="B205" s="85"/>
      <c r="C205" s="85"/>
      <c r="E205" s="85"/>
      <c r="F205" s="85"/>
    </row>
    <row r="206" spans="1:6" x14ac:dyDescent="0.35">
      <c r="A206" s="85"/>
      <c r="B206" s="85"/>
      <c r="C206" s="85"/>
      <c r="E206" s="85"/>
      <c r="F206" s="85"/>
    </row>
    <row r="207" spans="1:6" x14ac:dyDescent="0.35">
      <c r="A207" s="85"/>
      <c r="B207" s="85"/>
      <c r="C207" s="85"/>
      <c r="E207" s="85"/>
      <c r="F207" s="85"/>
    </row>
  </sheetData>
  <sortState ref="D3:D99">
    <sortCondition ref="D2"/>
  </sortState>
  <mergeCells count="1">
    <mergeCell ref="H2:I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53"/>
  <sheetViews>
    <sheetView zoomScale="74" zoomScaleNormal="100" workbookViewId="0">
      <selection activeCell="G1" sqref="G1:G1048576"/>
    </sheetView>
  </sheetViews>
  <sheetFormatPr baseColWidth="10" defaultColWidth="11.453125" defaultRowHeight="14.5" x14ac:dyDescent="0.35"/>
  <cols>
    <col min="1" max="1" width="11.81640625" style="2" customWidth="1"/>
    <col min="2" max="3" width="22.453125" style="2" customWidth="1"/>
    <col min="4" max="4" width="14" style="2" customWidth="1"/>
    <col min="5" max="5" width="40.54296875" style="44" bestFit="1" customWidth="1"/>
    <col min="6" max="6" width="16.7265625" style="2" customWidth="1"/>
    <col min="7" max="7" width="77.1796875" style="2" hidden="1" customWidth="1"/>
    <col min="8" max="13" width="14" style="2" customWidth="1"/>
    <col min="14" max="14" width="24.26953125" style="2" customWidth="1"/>
    <col min="15" max="15" width="12.54296875" style="2" customWidth="1"/>
    <col min="16" max="16384" width="11.453125" style="2"/>
  </cols>
  <sheetData>
    <row r="2" spans="1:11" x14ac:dyDescent="0.35">
      <c r="A2" s="2" t="s">
        <v>103</v>
      </c>
      <c r="B2" s="137" t="s">
        <v>1</v>
      </c>
      <c r="C2" s="138"/>
      <c r="D2" s="138"/>
      <c r="E2" s="138"/>
      <c r="F2" s="138"/>
      <c r="G2" s="138"/>
      <c r="H2" s="138"/>
      <c r="I2" s="138"/>
      <c r="J2" s="138"/>
      <c r="K2" s="139"/>
    </row>
    <row r="3" spans="1:11" ht="58" x14ac:dyDescent="0.35">
      <c r="A3" s="2">
        <f>COUNT(A4:A111)/3</f>
        <v>36</v>
      </c>
      <c r="B3" s="71" t="s">
        <v>2</v>
      </c>
      <c r="C3" s="71" t="s">
        <v>18</v>
      </c>
      <c r="D3" s="71" t="s">
        <v>22</v>
      </c>
      <c r="E3" s="71" t="s">
        <v>25</v>
      </c>
      <c r="F3" s="71" t="s">
        <v>0</v>
      </c>
      <c r="G3" s="71" t="s">
        <v>28</v>
      </c>
      <c r="H3" s="71" t="s">
        <v>8</v>
      </c>
      <c r="I3" s="71" t="s">
        <v>64</v>
      </c>
      <c r="J3" s="72"/>
      <c r="K3" s="72" t="s">
        <v>11</v>
      </c>
    </row>
    <row r="4" spans="1:11" x14ac:dyDescent="0.35">
      <c r="A4" s="2">
        <v>1</v>
      </c>
      <c r="B4" s="104" t="s">
        <v>40</v>
      </c>
      <c r="C4" s="104" t="s">
        <v>23</v>
      </c>
      <c r="D4" s="104" t="s">
        <v>37</v>
      </c>
      <c r="E4" s="105" t="s">
        <v>106</v>
      </c>
      <c r="F4" s="104" t="s">
        <v>44</v>
      </c>
      <c r="G4" s="105" t="str">
        <f t="shared" ref="G4:G96" si="0">CONCATENATE(B4,C4,D4,E4,F4)</f>
        <v>NuevoDTCoreAnalisis Codigo AnteriorBaja</v>
      </c>
      <c r="H4" s="104">
        <f t="shared" ref="H4:H6" si="1">I4/8</f>
        <v>0.625</v>
      </c>
      <c r="I4" s="104">
        <v>5</v>
      </c>
      <c r="J4" s="104"/>
      <c r="K4" s="104"/>
    </row>
    <row r="5" spans="1:11" x14ac:dyDescent="0.35">
      <c r="A5" s="2">
        <v>2</v>
      </c>
      <c r="B5" s="104" t="s">
        <v>40</v>
      </c>
      <c r="C5" s="104" t="s">
        <v>23</v>
      </c>
      <c r="D5" s="104" t="s">
        <v>37</v>
      </c>
      <c r="E5" s="105" t="s">
        <v>106</v>
      </c>
      <c r="F5" s="104" t="s">
        <v>43</v>
      </c>
      <c r="G5" s="105" t="str">
        <f t="shared" si="0"/>
        <v>NuevoDTCoreAnalisis Codigo AnteriorMedia</v>
      </c>
      <c r="H5" s="104">
        <f t="shared" si="1"/>
        <v>1.25</v>
      </c>
      <c r="I5" s="104">
        <v>10</v>
      </c>
      <c r="J5" s="104"/>
      <c r="K5" s="104"/>
    </row>
    <row r="6" spans="1:11" x14ac:dyDescent="0.35">
      <c r="A6" s="2">
        <v>3</v>
      </c>
      <c r="B6" s="104" t="s">
        <v>40</v>
      </c>
      <c r="C6" s="104" t="s">
        <v>23</v>
      </c>
      <c r="D6" s="104" t="s">
        <v>37</v>
      </c>
      <c r="E6" s="105" t="s">
        <v>106</v>
      </c>
      <c r="F6" s="104" t="s">
        <v>42</v>
      </c>
      <c r="G6" s="105" t="str">
        <f t="shared" si="0"/>
        <v>NuevoDTCoreAnalisis Codigo AnteriorAlta</v>
      </c>
      <c r="H6" s="104">
        <f t="shared" si="1"/>
        <v>2</v>
      </c>
      <c r="I6" s="104">
        <v>16</v>
      </c>
      <c r="J6" s="104"/>
      <c r="K6" s="104"/>
    </row>
    <row r="7" spans="1:11" x14ac:dyDescent="0.35">
      <c r="A7" s="2">
        <v>4</v>
      </c>
      <c r="B7" s="106" t="s">
        <v>40</v>
      </c>
      <c r="C7" s="106" t="s">
        <v>23</v>
      </c>
      <c r="D7" s="106" t="s">
        <v>37</v>
      </c>
      <c r="E7" s="107" t="s">
        <v>82</v>
      </c>
      <c r="F7" s="106" t="s">
        <v>44</v>
      </c>
      <c r="G7" s="107" t="str">
        <f t="shared" si="0"/>
        <v>NuevoDTCoreAnalisis FuncionalBaja</v>
      </c>
      <c r="H7" s="106">
        <f t="shared" ref="H7:H9" si="2">I7/8</f>
        <v>0.25</v>
      </c>
      <c r="I7" s="106">
        <v>2</v>
      </c>
      <c r="J7" s="106"/>
      <c r="K7" s="106"/>
    </row>
    <row r="8" spans="1:11" x14ac:dyDescent="0.35">
      <c r="A8" s="2">
        <v>5</v>
      </c>
      <c r="B8" s="106" t="s">
        <v>40</v>
      </c>
      <c r="C8" s="106" t="s">
        <v>23</v>
      </c>
      <c r="D8" s="106" t="s">
        <v>37</v>
      </c>
      <c r="E8" s="107" t="s">
        <v>82</v>
      </c>
      <c r="F8" s="106" t="s">
        <v>43</v>
      </c>
      <c r="G8" s="107" t="str">
        <f t="shared" si="0"/>
        <v>NuevoDTCoreAnalisis FuncionalMedia</v>
      </c>
      <c r="H8" s="106">
        <f t="shared" si="2"/>
        <v>0.5</v>
      </c>
      <c r="I8" s="106">
        <v>4</v>
      </c>
      <c r="J8" s="106"/>
      <c r="K8" s="106"/>
    </row>
    <row r="9" spans="1:11" x14ac:dyDescent="0.35">
      <c r="A9" s="2">
        <v>6</v>
      </c>
      <c r="B9" s="106" t="s">
        <v>40</v>
      </c>
      <c r="C9" s="106" t="s">
        <v>23</v>
      </c>
      <c r="D9" s="106" t="s">
        <v>37</v>
      </c>
      <c r="E9" s="107" t="s">
        <v>82</v>
      </c>
      <c r="F9" s="106" t="s">
        <v>42</v>
      </c>
      <c r="G9" s="107" t="str">
        <f t="shared" si="0"/>
        <v>NuevoDTCoreAnalisis FuncionalAlta</v>
      </c>
      <c r="H9" s="106">
        <f t="shared" si="2"/>
        <v>0.75</v>
      </c>
      <c r="I9" s="106">
        <v>6</v>
      </c>
      <c r="J9" s="106"/>
      <c r="K9" s="106"/>
    </row>
    <row r="10" spans="1:11" x14ac:dyDescent="0.35">
      <c r="A10" s="2">
        <v>7</v>
      </c>
      <c r="B10" s="104" t="s">
        <v>40</v>
      </c>
      <c r="C10" s="104" t="s">
        <v>23</v>
      </c>
      <c r="D10" s="104" t="s">
        <v>37</v>
      </c>
      <c r="E10" s="105" t="s">
        <v>80</v>
      </c>
      <c r="F10" s="104" t="s">
        <v>44</v>
      </c>
      <c r="G10" s="105" t="str">
        <f t="shared" ref="G10:G12" si="3">CONCATENATE(B10,C10,D10,E10,F10)</f>
        <v>NuevoDTCoreDocumentacion Funcional ServicioBaja</v>
      </c>
      <c r="H10" s="104">
        <f t="shared" ref="H10:H12" si="4">I10/8</f>
        <v>0.125</v>
      </c>
      <c r="I10" s="104">
        <v>1</v>
      </c>
      <c r="J10" s="104"/>
      <c r="K10" s="104"/>
    </row>
    <row r="11" spans="1:11" x14ac:dyDescent="0.35">
      <c r="A11" s="2">
        <v>8</v>
      </c>
      <c r="B11" s="104" t="s">
        <v>40</v>
      </c>
      <c r="C11" s="104" t="s">
        <v>23</v>
      </c>
      <c r="D11" s="104" t="s">
        <v>37</v>
      </c>
      <c r="E11" s="105" t="s">
        <v>80</v>
      </c>
      <c r="F11" s="104" t="s">
        <v>43</v>
      </c>
      <c r="G11" s="105" t="str">
        <f t="shared" si="3"/>
        <v>NuevoDTCoreDocumentacion Funcional ServicioMedia</v>
      </c>
      <c r="H11" s="104">
        <f t="shared" si="4"/>
        <v>0.25</v>
      </c>
      <c r="I11" s="104">
        <v>2</v>
      </c>
      <c r="J11" s="104"/>
      <c r="K11" s="104"/>
    </row>
    <row r="12" spans="1:11" x14ac:dyDescent="0.35">
      <c r="A12" s="2">
        <v>9</v>
      </c>
      <c r="B12" s="104" t="s">
        <v>40</v>
      </c>
      <c r="C12" s="104" t="s">
        <v>23</v>
      </c>
      <c r="D12" s="104" t="s">
        <v>37</v>
      </c>
      <c r="E12" s="105" t="s">
        <v>80</v>
      </c>
      <c r="F12" s="104" t="s">
        <v>42</v>
      </c>
      <c r="G12" s="105" t="str">
        <f t="shared" si="3"/>
        <v>NuevoDTCoreDocumentacion Funcional ServicioAlta</v>
      </c>
      <c r="H12" s="104">
        <f t="shared" si="4"/>
        <v>0.375</v>
      </c>
      <c r="I12" s="104">
        <v>3</v>
      </c>
      <c r="J12" s="104"/>
      <c r="K12" s="104"/>
    </row>
    <row r="13" spans="1:11" x14ac:dyDescent="0.35">
      <c r="A13" s="2">
        <v>10</v>
      </c>
      <c r="B13" s="106" t="s">
        <v>40</v>
      </c>
      <c r="C13" s="106" t="s">
        <v>23</v>
      </c>
      <c r="D13" s="106" t="s">
        <v>37</v>
      </c>
      <c r="E13" s="107" t="s">
        <v>81</v>
      </c>
      <c r="F13" s="106" t="s">
        <v>44</v>
      </c>
      <c r="G13" s="107" t="str">
        <f t="shared" ref="G13:G15" si="5">CONCATENATE(B13,C13,D13,E13,F13)</f>
        <v>NuevoDTCoreDocumentacion Funcional BatchBaja</v>
      </c>
      <c r="H13" s="106">
        <f t="shared" ref="H13:H15" si="6">I13/8</f>
        <v>0.125</v>
      </c>
      <c r="I13" s="106">
        <v>1</v>
      </c>
      <c r="J13" s="106"/>
      <c r="K13" s="106"/>
    </row>
    <row r="14" spans="1:11" x14ac:dyDescent="0.35">
      <c r="A14" s="2">
        <v>11</v>
      </c>
      <c r="B14" s="106" t="s">
        <v>40</v>
      </c>
      <c r="C14" s="106" t="s">
        <v>23</v>
      </c>
      <c r="D14" s="106" t="s">
        <v>37</v>
      </c>
      <c r="E14" s="107" t="s">
        <v>81</v>
      </c>
      <c r="F14" s="106" t="s">
        <v>43</v>
      </c>
      <c r="G14" s="107" t="str">
        <f t="shared" si="5"/>
        <v>NuevoDTCoreDocumentacion Funcional BatchMedia</v>
      </c>
      <c r="H14" s="106">
        <f t="shared" si="6"/>
        <v>0.25</v>
      </c>
      <c r="I14" s="106">
        <v>2</v>
      </c>
      <c r="J14" s="106"/>
      <c r="K14" s="106"/>
    </row>
    <row r="15" spans="1:11" x14ac:dyDescent="0.35">
      <c r="A15" s="2">
        <v>12</v>
      </c>
      <c r="B15" s="106" t="s">
        <v>40</v>
      </c>
      <c r="C15" s="106" t="s">
        <v>23</v>
      </c>
      <c r="D15" s="106" t="s">
        <v>37</v>
      </c>
      <c r="E15" s="107" t="s">
        <v>81</v>
      </c>
      <c r="F15" s="106" t="s">
        <v>42</v>
      </c>
      <c r="G15" s="107" t="str">
        <f t="shared" si="5"/>
        <v>NuevoDTCoreDocumentacion Funcional BatchAlta</v>
      </c>
      <c r="H15" s="106">
        <f t="shared" si="6"/>
        <v>0.375</v>
      </c>
      <c r="I15" s="106">
        <v>3</v>
      </c>
      <c r="J15" s="106"/>
      <c r="K15" s="106"/>
    </row>
    <row r="16" spans="1:11" x14ac:dyDescent="0.35">
      <c r="A16" s="2">
        <v>13</v>
      </c>
      <c r="B16" s="104" t="s">
        <v>40</v>
      </c>
      <c r="C16" s="104" t="s">
        <v>23</v>
      </c>
      <c r="D16" s="104" t="s">
        <v>37</v>
      </c>
      <c r="E16" s="105" t="s">
        <v>96</v>
      </c>
      <c r="F16" s="104" t="s">
        <v>44</v>
      </c>
      <c r="G16" s="105" t="str">
        <f t="shared" ref="G16:G18" si="7">CONCATENATE(B16,C16,D16,E16,F16)</f>
        <v>NuevoDTCoreDocumentacion codigoBaja</v>
      </c>
      <c r="H16" s="104">
        <f t="shared" ref="H16:H18" si="8">I16/8</f>
        <v>0.125</v>
      </c>
      <c r="I16" s="104">
        <v>1</v>
      </c>
      <c r="J16" s="104"/>
      <c r="K16" s="104"/>
    </row>
    <row r="17" spans="1:11" x14ac:dyDescent="0.35">
      <c r="A17" s="2">
        <v>14</v>
      </c>
      <c r="B17" s="104" t="s">
        <v>40</v>
      </c>
      <c r="C17" s="104" t="s">
        <v>23</v>
      </c>
      <c r="D17" s="104" t="s">
        <v>37</v>
      </c>
      <c r="E17" s="105" t="s">
        <v>96</v>
      </c>
      <c r="F17" s="104" t="s">
        <v>43</v>
      </c>
      <c r="G17" s="105" t="str">
        <f t="shared" si="7"/>
        <v>NuevoDTCoreDocumentacion codigoMedia</v>
      </c>
      <c r="H17" s="104">
        <f t="shared" si="8"/>
        <v>0.25</v>
      </c>
      <c r="I17" s="104">
        <v>2</v>
      </c>
      <c r="J17" s="104"/>
      <c r="K17" s="104"/>
    </row>
    <row r="18" spans="1:11" x14ac:dyDescent="0.35">
      <c r="A18" s="2">
        <v>15</v>
      </c>
      <c r="B18" s="104" t="s">
        <v>40</v>
      </c>
      <c r="C18" s="104" t="s">
        <v>23</v>
      </c>
      <c r="D18" s="104" t="s">
        <v>37</v>
      </c>
      <c r="E18" s="105" t="s">
        <v>96</v>
      </c>
      <c r="F18" s="104" t="s">
        <v>42</v>
      </c>
      <c r="G18" s="105" t="str">
        <f t="shared" si="7"/>
        <v>NuevoDTCoreDocumentacion codigoAlta</v>
      </c>
      <c r="H18" s="104">
        <f t="shared" si="8"/>
        <v>0.375</v>
      </c>
      <c r="I18" s="104">
        <v>3</v>
      </c>
      <c r="J18" s="104"/>
      <c r="K18" s="104"/>
    </row>
    <row r="19" spans="1:11" x14ac:dyDescent="0.35">
      <c r="A19" s="2">
        <v>16</v>
      </c>
      <c r="B19" s="106" t="s">
        <v>40</v>
      </c>
      <c r="C19" s="106" t="s">
        <v>23</v>
      </c>
      <c r="D19" s="106" t="s">
        <v>38</v>
      </c>
      <c r="E19" s="107" t="s">
        <v>79</v>
      </c>
      <c r="F19" s="106" t="s">
        <v>44</v>
      </c>
      <c r="G19" s="107" t="str">
        <f t="shared" ref="G19:G21" si="9">CONCATENATE(B19,C19,D19,E19,F19)</f>
        <v>NuevoDTFrontalDocumentacion Funcional PantallaBaja</v>
      </c>
      <c r="H19" s="106">
        <f t="shared" ref="H19:H21" si="10">I19/8</f>
        <v>0.125</v>
      </c>
      <c r="I19" s="106">
        <v>1</v>
      </c>
      <c r="J19" s="106"/>
      <c r="K19" s="106"/>
    </row>
    <row r="20" spans="1:11" x14ac:dyDescent="0.35">
      <c r="A20" s="2">
        <v>17</v>
      </c>
      <c r="B20" s="106" t="s">
        <v>40</v>
      </c>
      <c r="C20" s="106" t="s">
        <v>23</v>
      </c>
      <c r="D20" s="106" t="s">
        <v>38</v>
      </c>
      <c r="E20" s="107" t="s">
        <v>79</v>
      </c>
      <c r="F20" s="106" t="s">
        <v>43</v>
      </c>
      <c r="G20" s="107" t="str">
        <f t="shared" si="9"/>
        <v>NuevoDTFrontalDocumentacion Funcional PantallaMedia</v>
      </c>
      <c r="H20" s="106">
        <f t="shared" si="10"/>
        <v>0.1875</v>
      </c>
      <c r="I20" s="106">
        <v>1.5</v>
      </c>
      <c r="J20" s="106"/>
      <c r="K20" s="106"/>
    </row>
    <row r="21" spans="1:11" x14ac:dyDescent="0.35">
      <c r="A21" s="2">
        <v>18</v>
      </c>
      <c r="B21" s="106" t="s">
        <v>40</v>
      </c>
      <c r="C21" s="106" t="s">
        <v>23</v>
      </c>
      <c r="D21" s="106" t="s">
        <v>38</v>
      </c>
      <c r="E21" s="107" t="s">
        <v>79</v>
      </c>
      <c r="F21" s="106" t="s">
        <v>42</v>
      </c>
      <c r="G21" s="107" t="str">
        <f t="shared" si="9"/>
        <v>NuevoDTFrontalDocumentacion Funcional PantallaAlta</v>
      </c>
      <c r="H21" s="106">
        <f t="shared" si="10"/>
        <v>0.25</v>
      </c>
      <c r="I21" s="106">
        <v>2</v>
      </c>
      <c r="J21" s="106"/>
      <c r="K21" s="106"/>
    </row>
    <row r="22" spans="1:11" x14ac:dyDescent="0.35">
      <c r="A22" s="2">
        <v>19</v>
      </c>
      <c r="B22" s="104" t="s">
        <v>40</v>
      </c>
      <c r="C22" s="104" t="s">
        <v>23</v>
      </c>
      <c r="D22" s="104" t="s">
        <v>38</v>
      </c>
      <c r="E22" s="105" t="s">
        <v>106</v>
      </c>
      <c r="F22" s="104" t="s">
        <v>44</v>
      </c>
      <c r="G22" s="105" t="str">
        <f t="shared" ref="G22:G24" si="11">CONCATENATE(B22,C22,D22,E22,F22)</f>
        <v>NuevoDTFrontalAnalisis Codigo AnteriorBaja</v>
      </c>
      <c r="H22" s="104">
        <f t="shared" ref="H22:H24" si="12">I22/8</f>
        <v>0.5</v>
      </c>
      <c r="I22" s="104">
        <v>4</v>
      </c>
      <c r="J22" s="104"/>
      <c r="K22" s="104"/>
    </row>
    <row r="23" spans="1:11" x14ac:dyDescent="0.35">
      <c r="A23" s="2">
        <v>20</v>
      </c>
      <c r="B23" s="104" t="s">
        <v>40</v>
      </c>
      <c r="C23" s="104" t="s">
        <v>23</v>
      </c>
      <c r="D23" s="104" t="s">
        <v>38</v>
      </c>
      <c r="E23" s="105" t="s">
        <v>106</v>
      </c>
      <c r="F23" s="104" t="s">
        <v>43</v>
      </c>
      <c r="G23" s="105" t="str">
        <f t="shared" si="11"/>
        <v>NuevoDTFrontalAnalisis Codigo AnteriorMedia</v>
      </c>
      <c r="H23" s="104">
        <f t="shared" si="12"/>
        <v>0.75</v>
      </c>
      <c r="I23" s="104">
        <v>6</v>
      </c>
      <c r="J23" s="104"/>
      <c r="K23" s="104"/>
    </row>
    <row r="24" spans="1:11" x14ac:dyDescent="0.35">
      <c r="A24" s="2">
        <v>21</v>
      </c>
      <c r="B24" s="104" t="s">
        <v>40</v>
      </c>
      <c r="C24" s="104" t="s">
        <v>23</v>
      </c>
      <c r="D24" s="104" t="s">
        <v>38</v>
      </c>
      <c r="E24" s="105" t="s">
        <v>106</v>
      </c>
      <c r="F24" s="104" t="s">
        <v>42</v>
      </c>
      <c r="G24" s="105" t="str">
        <f t="shared" si="11"/>
        <v>NuevoDTFrontalAnalisis Codigo AnteriorAlta</v>
      </c>
      <c r="H24" s="104">
        <f t="shared" si="12"/>
        <v>1</v>
      </c>
      <c r="I24" s="104">
        <v>8</v>
      </c>
      <c r="J24" s="104"/>
      <c r="K24" s="104"/>
    </row>
    <row r="25" spans="1:11" x14ac:dyDescent="0.35">
      <c r="A25" s="2">
        <v>22</v>
      </c>
      <c r="B25" s="106" t="s">
        <v>40</v>
      </c>
      <c r="C25" s="106" t="s">
        <v>23</v>
      </c>
      <c r="D25" s="106" t="s">
        <v>38</v>
      </c>
      <c r="E25" s="107" t="s">
        <v>82</v>
      </c>
      <c r="F25" s="106" t="s">
        <v>44</v>
      </c>
      <c r="G25" s="107" t="str">
        <f t="shared" ref="G25:G27" si="13">CONCATENATE(B25,C25,D25,E25,F25)</f>
        <v>NuevoDTFrontalAnalisis FuncionalBaja</v>
      </c>
      <c r="H25" s="106">
        <f t="shared" ref="H25:H27" si="14">I25/8</f>
        <v>0.125</v>
      </c>
      <c r="I25" s="106">
        <v>1</v>
      </c>
      <c r="J25" s="106"/>
      <c r="K25" s="106"/>
    </row>
    <row r="26" spans="1:11" x14ac:dyDescent="0.35">
      <c r="A26" s="2">
        <v>23</v>
      </c>
      <c r="B26" s="106" t="s">
        <v>40</v>
      </c>
      <c r="C26" s="106" t="s">
        <v>23</v>
      </c>
      <c r="D26" s="106" t="s">
        <v>38</v>
      </c>
      <c r="E26" s="107" t="s">
        <v>82</v>
      </c>
      <c r="F26" s="106" t="s">
        <v>43</v>
      </c>
      <c r="G26" s="107" t="str">
        <f t="shared" si="13"/>
        <v>NuevoDTFrontalAnalisis FuncionalMedia</v>
      </c>
      <c r="H26" s="106">
        <f t="shared" si="14"/>
        <v>0.25</v>
      </c>
      <c r="I26" s="106">
        <v>2</v>
      </c>
      <c r="J26" s="106"/>
      <c r="K26" s="106"/>
    </row>
    <row r="27" spans="1:11" x14ac:dyDescent="0.35">
      <c r="A27" s="2">
        <v>24</v>
      </c>
      <c r="B27" s="106" t="s">
        <v>40</v>
      </c>
      <c r="C27" s="106" t="s">
        <v>23</v>
      </c>
      <c r="D27" s="106" t="s">
        <v>38</v>
      </c>
      <c r="E27" s="107" t="s">
        <v>82</v>
      </c>
      <c r="F27" s="106" t="s">
        <v>42</v>
      </c>
      <c r="G27" s="107" t="str">
        <f t="shared" si="13"/>
        <v>NuevoDTFrontalAnalisis FuncionalAlta</v>
      </c>
      <c r="H27" s="106">
        <f t="shared" si="14"/>
        <v>0.375</v>
      </c>
      <c r="I27" s="106">
        <v>3</v>
      </c>
      <c r="J27" s="106"/>
      <c r="K27" s="106"/>
    </row>
    <row r="28" spans="1:11" x14ac:dyDescent="0.35">
      <c r="A28" s="2">
        <v>25</v>
      </c>
      <c r="B28" s="104" t="s">
        <v>40</v>
      </c>
      <c r="C28" s="104" t="s">
        <v>23</v>
      </c>
      <c r="D28" s="104" t="s">
        <v>38</v>
      </c>
      <c r="E28" s="105" t="s">
        <v>96</v>
      </c>
      <c r="F28" s="104" t="s">
        <v>44</v>
      </c>
      <c r="G28" s="105" t="str">
        <f t="shared" ref="G28:G30" si="15">CONCATENATE(B28,C28,D28,E28,F28)</f>
        <v>NuevoDTFrontalDocumentacion codigoBaja</v>
      </c>
      <c r="H28" s="104">
        <f t="shared" ref="H28:H63" si="16">I28/8</f>
        <v>0.125</v>
      </c>
      <c r="I28" s="104">
        <v>1</v>
      </c>
      <c r="J28" s="104"/>
      <c r="K28" s="104"/>
    </row>
    <row r="29" spans="1:11" x14ac:dyDescent="0.35">
      <c r="A29" s="2">
        <v>26</v>
      </c>
      <c r="B29" s="104" t="s">
        <v>40</v>
      </c>
      <c r="C29" s="104" t="s">
        <v>23</v>
      </c>
      <c r="D29" s="104" t="s">
        <v>38</v>
      </c>
      <c r="E29" s="105" t="s">
        <v>96</v>
      </c>
      <c r="F29" s="104" t="s">
        <v>43</v>
      </c>
      <c r="G29" s="105" t="str">
        <f t="shared" si="15"/>
        <v>NuevoDTFrontalDocumentacion codigoMedia</v>
      </c>
      <c r="H29" s="104">
        <f t="shared" si="16"/>
        <v>0.25</v>
      </c>
      <c r="I29" s="104">
        <v>2</v>
      </c>
      <c r="J29" s="104"/>
      <c r="K29" s="104"/>
    </row>
    <row r="30" spans="1:11" x14ac:dyDescent="0.35">
      <c r="A30" s="2">
        <v>27</v>
      </c>
      <c r="B30" s="104" t="s">
        <v>40</v>
      </c>
      <c r="C30" s="104" t="s">
        <v>23</v>
      </c>
      <c r="D30" s="104" t="s">
        <v>38</v>
      </c>
      <c r="E30" s="105" t="s">
        <v>96</v>
      </c>
      <c r="F30" s="104" t="s">
        <v>42</v>
      </c>
      <c r="G30" s="105" t="str">
        <f t="shared" si="15"/>
        <v>NuevoDTFrontalDocumentacion codigoAlta</v>
      </c>
      <c r="H30" s="104">
        <f t="shared" si="16"/>
        <v>0.375</v>
      </c>
      <c r="I30" s="104">
        <v>3</v>
      </c>
      <c r="J30" s="104"/>
      <c r="K30" s="104"/>
    </row>
    <row r="31" spans="1:11" x14ac:dyDescent="0.35">
      <c r="A31" s="2">
        <v>28</v>
      </c>
      <c r="B31" s="106" t="s">
        <v>40</v>
      </c>
      <c r="C31" s="106" t="s">
        <v>23</v>
      </c>
      <c r="D31" s="106" t="s">
        <v>62</v>
      </c>
      <c r="E31" s="107" t="s">
        <v>87</v>
      </c>
      <c r="F31" s="106" t="s">
        <v>44</v>
      </c>
      <c r="G31" s="107" t="str">
        <f t="shared" ref="G31:G45" si="17">CONCATENATE(B31,C31,D31,E31,F31)</f>
        <v>NuevoDTAPIAnalizar ApiBaja</v>
      </c>
      <c r="H31" s="106">
        <f t="shared" si="16"/>
        <v>0.25</v>
      </c>
      <c r="I31" s="106">
        <v>2</v>
      </c>
      <c r="J31" s="106"/>
      <c r="K31" s="106"/>
    </row>
    <row r="32" spans="1:11" x14ac:dyDescent="0.35">
      <c r="A32" s="2">
        <v>29</v>
      </c>
      <c r="B32" s="106" t="s">
        <v>40</v>
      </c>
      <c r="C32" s="106" t="s">
        <v>23</v>
      </c>
      <c r="D32" s="106" t="s">
        <v>62</v>
      </c>
      <c r="E32" s="107" t="s">
        <v>87</v>
      </c>
      <c r="F32" s="106" t="s">
        <v>43</v>
      </c>
      <c r="G32" s="107" t="str">
        <f t="shared" si="17"/>
        <v>NuevoDTAPIAnalizar ApiMedia</v>
      </c>
      <c r="H32" s="106">
        <f t="shared" si="16"/>
        <v>0.5</v>
      </c>
      <c r="I32" s="106">
        <v>4</v>
      </c>
      <c r="J32" s="106"/>
      <c r="K32" s="106"/>
    </row>
    <row r="33" spans="1:12" x14ac:dyDescent="0.35">
      <c r="A33" s="2">
        <v>30</v>
      </c>
      <c r="B33" s="106" t="s">
        <v>40</v>
      </c>
      <c r="C33" s="106" t="s">
        <v>23</v>
      </c>
      <c r="D33" s="106" t="s">
        <v>62</v>
      </c>
      <c r="E33" s="107" t="s">
        <v>87</v>
      </c>
      <c r="F33" s="106" t="s">
        <v>42</v>
      </c>
      <c r="G33" s="107" t="str">
        <f t="shared" si="17"/>
        <v>NuevoDTAPIAnalizar ApiAlta</v>
      </c>
      <c r="H33" s="106">
        <f t="shared" si="16"/>
        <v>0.75</v>
      </c>
      <c r="I33" s="106">
        <v>6</v>
      </c>
      <c r="J33" s="106"/>
      <c r="K33" s="106"/>
    </row>
    <row r="34" spans="1:12" x14ac:dyDescent="0.35">
      <c r="A34" s="2">
        <v>31</v>
      </c>
      <c r="B34" s="104" t="s">
        <v>40</v>
      </c>
      <c r="C34" s="104" t="s">
        <v>23</v>
      </c>
      <c r="D34" s="104" t="s">
        <v>62</v>
      </c>
      <c r="E34" s="105" t="s">
        <v>96</v>
      </c>
      <c r="F34" s="104" t="s">
        <v>44</v>
      </c>
      <c r="G34" s="105" t="str">
        <f t="shared" ref="G34:G39" si="18">CONCATENATE(B34,C34,D34,E34,F34)</f>
        <v>NuevoDTAPIDocumentacion codigoBaja</v>
      </c>
      <c r="H34" s="104">
        <f t="shared" si="16"/>
        <v>0.125</v>
      </c>
      <c r="I34" s="104">
        <v>1</v>
      </c>
      <c r="J34" s="104"/>
      <c r="K34" s="104"/>
      <c r="L34" s="48"/>
    </row>
    <row r="35" spans="1:12" x14ac:dyDescent="0.35">
      <c r="A35" s="2">
        <v>32</v>
      </c>
      <c r="B35" s="104" t="s">
        <v>40</v>
      </c>
      <c r="C35" s="104" t="s">
        <v>23</v>
      </c>
      <c r="D35" s="104" t="s">
        <v>62</v>
      </c>
      <c r="E35" s="105" t="s">
        <v>96</v>
      </c>
      <c r="F35" s="104" t="s">
        <v>43</v>
      </c>
      <c r="G35" s="105" t="str">
        <f>CONCATENATE(B35,C35,D35,E35,F35)</f>
        <v>NuevoDTAPIDocumentacion codigoMedia</v>
      </c>
      <c r="H35" s="104">
        <f t="shared" si="16"/>
        <v>0.25</v>
      </c>
      <c r="I35" s="104">
        <v>2</v>
      </c>
      <c r="J35" s="104"/>
      <c r="K35" s="104"/>
      <c r="L35" s="48"/>
    </row>
    <row r="36" spans="1:12" x14ac:dyDescent="0.35">
      <c r="A36" s="2">
        <v>33</v>
      </c>
      <c r="B36" s="104" t="s">
        <v>40</v>
      </c>
      <c r="C36" s="104" t="s">
        <v>23</v>
      </c>
      <c r="D36" s="104" t="s">
        <v>62</v>
      </c>
      <c r="E36" s="105" t="s">
        <v>96</v>
      </c>
      <c r="F36" s="104" t="s">
        <v>42</v>
      </c>
      <c r="G36" s="105" t="str">
        <f t="shared" si="18"/>
        <v>NuevoDTAPIDocumentacion codigoAlta</v>
      </c>
      <c r="H36" s="104">
        <f t="shared" si="16"/>
        <v>0.375</v>
      </c>
      <c r="I36" s="104">
        <v>3</v>
      </c>
      <c r="J36" s="104"/>
      <c r="K36" s="104"/>
      <c r="L36" s="48"/>
    </row>
    <row r="37" spans="1:12" x14ac:dyDescent="0.35">
      <c r="A37" s="2">
        <v>34</v>
      </c>
      <c r="B37" s="106" t="s">
        <v>40</v>
      </c>
      <c r="C37" s="106" t="s">
        <v>23</v>
      </c>
      <c r="D37" s="106" t="s">
        <v>62</v>
      </c>
      <c r="E37" s="107" t="s">
        <v>98</v>
      </c>
      <c r="F37" s="106" t="s">
        <v>44</v>
      </c>
      <c r="G37" s="107" t="str">
        <f t="shared" si="18"/>
        <v>NuevoDTAPIDocumentacion Funcional APIBaja</v>
      </c>
      <c r="H37" s="106">
        <f t="shared" si="16"/>
        <v>0.125</v>
      </c>
      <c r="I37" s="106">
        <v>1</v>
      </c>
      <c r="J37" s="106"/>
      <c r="K37" s="106"/>
      <c r="L37" s="48"/>
    </row>
    <row r="38" spans="1:12" x14ac:dyDescent="0.35">
      <c r="A38" s="2">
        <v>35</v>
      </c>
      <c r="B38" s="106" t="s">
        <v>40</v>
      </c>
      <c r="C38" s="106" t="s">
        <v>23</v>
      </c>
      <c r="D38" s="106" t="s">
        <v>62</v>
      </c>
      <c r="E38" s="107" t="s">
        <v>98</v>
      </c>
      <c r="F38" s="106" t="s">
        <v>43</v>
      </c>
      <c r="G38" s="107" t="str">
        <f t="shared" si="18"/>
        <v>NuevoDTAPIDocumentacion Funcional APIMedia</v>
      </c>
      <c r="H38" s="106">
        <f t="shared" si="16"/>
        <v>0.25</v>
      </c>
      <c r="I38" s="106">
        <v>2</v>
      </c>
      <c r="J38" s="106"/>
      <c r="K38" s="106"/>
      <c r="L38" s="48"/>
    </row>
    <row r="39" spans="1:12" x14ac:dyDescent="0.35">
      <c r="A39" s="2">
        <v>36</v>
      </c>
      <c r="B39" s="106" t="s">
        <v>40</v>
      </c>
      <c r="C39" s="106" t="s">
        <v>23</v>
      </c>
      <c r="D39" s="106" t="s">
        <v>62</v>
      </c>
      <c r="E39" s="107" t="s">
        <v>98</v>
      </c>
      <c r="F39" s="106" t="s">
        <v>42</v>
      </c>
      <c r="G39" s="107" t="str">
        <f t="shared" si="18"/>
        <v>NuevoDTAPIDocumentacion Funcional APIAlta</v>
      </c>
      <c r="H39" s="106">
        <f t="shared" si="16"/>
        <v>0.375</v>
      </c>
      <c r="I39" s="106">
        <v>3</v>
      </c>
      <c r="J39" s="106"/>
      <c r="K39" s="106"/>
      <c r="L39" s="48"/>
    </row>
    <row r="40" spans="1:12" x14ac:dyDescent="0.35">
      <c r="A40" s="2">
        <v>37</v>
      </c>
      <c r="B40" s="104" t="s">
        <v>40</v>
      </c>
      <c r="C40" s="104" t="s">
        <v>23</v>
      </c>
      <c r="D40" s="104" t="s">
        <v>39</v>
      </c>
      <c r="E40" s="105" t="s">
        <v>86</v>
      </c>
      <c r="F40" s="104" t="s">
        <v>44</v>
      </c>
      <c r="G40" s="105" t="str">
        <f t="shared" si="17"/>
        <v>NuevoDTGeneralAnalizarBaja</v>
      </c>
      <c r="H40" s="104">
        <f t="shared" si="16"/>
        <v>0.375</v>
      </c>
      <c r="I40" s="104">
        <v>3</v>
      </c>
      <c r="J40" s="104"/>
      <c r="K40" s="104"/>
      <c r="L40" s="48"/>
    </row>
    <row r="41" spans="1:12" x14ac:dyDescent="0.35">
      <c r="A41" s="2">
        <v>38</v>
      </c>
      <c r="B41" s="104" t="s">
        <v>40</v>
      </c>
      <c r="C41" s="104" t="s">
        <v>23</v>
      </c>
      <c r="D41" s="104" t="s">
        <v>39</v>
      </c>
      <c r="E41" s="105" t="s">
        <v>86</v>
      </c>
      <c r="F41" s="104" t="s">
        <v>43</v>
      </c>
      <c r="G41" s="105" t="str">
        <f t="shared" si="17"/>
        <v>NuevoDTGeneralAnalizarMedia</v>
      </c>
      <c r="H41" s="104">
        <f t="shared" si="16"/>
        <v>0.625</v>
      </c>
      <c r="I41" s="104">
        <v>5</v>
      </c>
      <c r="J41" s="104"/>
      <c r="K41" s="104"/>
      <c r="L41" s="48"/>
    </row>
    <row r="42" spans="1:12" x14ac:dyDescent="0.35">
      <c r="A42" s="2">
        <v>39</v>
      </c>
      <c r="B42" s="104" t="s">
        <v>40</v>
      </c>
      <c r="C42" s="104" t="s">
        <v>23</v>
      </c>
      <c r="D42" s="104" t="s">
        <v>39</v>
      </c>
      <c r="E42" s="105" t="s">
        <v>86</v>
      </c>
      <c r="F42" s="104" t="s">
        <v>42</v>
      </c>
      <c r="G42" s="105" t="str">
        <f t="shared" si="17"/>
        <v>NuevoDTGeneralAnalizarAlta</v>
      </c>
      <c r="H42" s="104">
        <f t="shared" si="16"/>
        <v>1</v>
      </c>
      <c r="I42" s="104">
        <v>8</v>
      </c>
      <c r="J42" s="104"/>
      <c r="K42" s="104"/>
      <c r="L42" s="48"/>
    </row>
    <row r="43" spans="1:12" x14ac:dyDescent="0.35">
      <c r="A43" s="2">
        <v>40</v>
      </c>
      <c r="B43" s="106" t="s">
        <v>40</v>
      </c>
      <c r="C43" s="106" t="s">
        <v>23</v>
      </c>
      <c r="D43" s="106" t="s">
        <v>39</v>
      </c>
      <c r="E43" s="107" t="s">
        <v>84</v>
      </c>
      <c r="F43" s="106" t="s">
        <v>44</v>
      </c>
      <c r="G43" s="107" t="str">
        <f t="shared" si="17"/>
        <v>NuevoDTGeneralDocumentarBaja</v>
      </c>
      <c r="H43" s="106">
        <f t="shared" si="16"/>
        <v>0.125</v>
      </c>
      <c r="I43" s="106">
        <v>1</v>
      </c>
      <c r="J43" s="106"/>
      <c r="K43" s="106"/>
      <c r="L43" s="48"/>
    </row>
    <row r="44" spans="1:12" x14ac:dyDescent="0.35">
      <c r="A44" s="2">
        <v>41</v>
      </c>
      <c r="B44" s="106" t="s">
        <v>40</v>
      </c>
      <c r="C44" s="106" t="s">
        <v>23</v>
      </c>
      <c r="D44" s="106" t="s">
        <v>39</v>
      </c>
      <c r="E44" s="107" t="s">
        <v>84</v>
      </c>
      <c r="F44" s="106" t="s">
        <v>43</v>
      </c>
      <c r="G44" s="107" t="str">
        <f t="shared" si="17"/>
        <v>NuevoDTGeneralDocumentarMedia</v>
      </c>
      <c r="H44" s="106">
        <f t="shared" si="16"/>
        <v>0.25</v>
      </c>
      <c r="I44" s="106">
        <v>2</v>
      </c>
      <c r="J44" s="106"/>
      <c r="K44" s="106"/>
      <c r="L44" s="48"/>
    </row>
    <row r="45" spans="1:12" x14ac:dyDescent="0.35">
      <c r="A45" s="2">
        <v>42</v>
      </c>
      <c r="B45" s="106" t="s">
        <v>40</v>
      </c>
      <c r="C45" s="106" t="s">
        <v>23</v>
      </c>
      <c r="D45" s="106" t="s">
        <v>39</v>
      </c>
      <c r="E45" s="107" t="s">
        <v>84</v>
      </c>
      <c r="F45" s="106" t="s">
        <v>42</v>
      </c>
      <c r="G45" s="107" t="str">
        <f t="shared" si="17"/>
        <v>NuevoDTGeneralDocumentarAlta</v>
      </c>
      <c r="H45" s="106">
        <f t="shared" si="16"/>
        <v>0.5</v>
      </c>
      <c r="I45" s="106">
        <v>4</v>
      </c>
      <c r="J45" s="106"/>
      <c r="K45" s="106"/>
      <c r="L45" s="48"/>
    </row>
    <row r="46" spans="1:12" x14ac:dyDescent="0.35">
      <c r="A46" s="2">
        <v>43</v>
      </c>
      <c r="B46" s="104" t="s">
        <v>40</v>
      </c>
      <c r="C46" s="104" t="s">
        <v>24</v>
      </c>
      <c r="D46" s="104" t="s">
        <v>37</v>
      </c>
      <c r="E46" s="105" t="s">
        <v>56</v>
      </c>
      <c r="F46" s="104" t="s">
        <v>44</v>
      </c>
      <c r="G46" s="105" t="str">
        <f t="shared" ref="G46:G48" si="19">CONCATENATE(B46,C46,D46,E46,F46)</f>
        <v>NuevoCTCoreServicioBaja</v>
      </c>
      <c r="H46" s="104">
        <f t="shared" si="16"/>
        <v>0.375</v>
      </c>
      <c r="I46" s="104">
        <v>3</v>
      </c>
      <c r="J46" s="104"/>
      <c r="K46" s="104"/>
      <c r="L46" s="48"/>
    </row>
    <row r="47" spans="1:12" x14ac:dyDescent="0.35">
      <c r="A47" s="2">
        <v>44</v>
      </c>
      <c r="B47" s="104" t="s">
        <v>40</v>
      </c>
      <c r="C47" s="104" t="s">
        <v>24</v>
      </c>
      <c r="D47" s="104" t="s">
        <v>37</v>
      </c>
      <c r="E47" s="105" t="s">
        <v>56</v>
      </c>
      <c r="F47" s="104" t="s">
        <v>43</v>
      </c>
      <c r="G47" s="105" t="str">
        <f t="shared" si="19"/>
        <v>NuevoCTCoreServicioMedia</v>
      </c>
      <c r="H47" s="104">
        <f t="shared" si="16"/>
        <v>0.75</v>
      </c>
      <c r="I47" s="104">
        <v>6</v>
      </c>
      <c r="J47" s="104"/>
      <c r="K47" s="104"/>
      <c r="L47" s="48"/>
    </row>
    <row r="48" spans="1:12" x14ac:dyDescent="0.35">
      <c r="A48" s="2">
        <v>45</v>
      </c>
      <c r="B48" s="104" t="s">
        <v>40</v>
      </c>
      <c r="C48" s="104" t="s">
        <v>24</v>
      </c>
      <c r="D48" s="104" t="s">
        <v>37</v>
      </c>
      <c r="E48" s="105" t="s">
        <v>56</v>
      </c>
      <c r="F48" s="104" t="s">
        <v>42</v>
      </c>
      <c r="G48" s="105" t="str">
        <f t="shared" si="19"/>
        <v>NuevoCTCoreServicioAlta</v>
      </c>
      <c r="H48" s="104">
        <f t="shared" si="16"/>
        <v>1.25</v>
      </c>
      <c r="I48" s="104">
        <v>10</v>
      </c>
      <c r="J48" s="104"/>
      <c r="K48" s="104"/>
      <c r="L48" s="48"/>
    </row>
    <row r="49" spans="1:14" x14ac:dyDescent="0.35">
      <c r="A49" s="2">
        <v>46</v>
      </c>
      <c r="B49" s="106" t="s">
        <v>40</v>
      </c>
      <c r="C49" s="106" t="s">
        <v>24</v>
      </c>
      <c r="D49" s="106" t="s">
        <v>37</v>
      </c>
      <c r="E49" s="107" t="s">
        <v>57</v>
      </c>
      <c r="F49" s="106" t="s">
        <v>44</v>
      </c>
      <c r="G49" s="107" t="str">
        <f t="shared" ref="G49:G51" si="20">CONCATENATE(B49,C49,D49,E49,F49)</f>
        <v>NuevoCTCoreDAOBaja</v>
      </c>
      <c r="H49" s="106">
        <f t="shared" si="16"/>
        <v>0.375</v>
      </c>
      <c r="I49" s="106">
        <v>3</v>
      </c>
      <c r="J49" s="106"/>
      <c r="K49" s="106"/>
      <c r="L49" s="48"/>
    </row>
    <row r="50" spans="1:14" x14ac:dyDescent="0.35">
      <c r="A50" s="2">
        <v>47</v>
      </c>
      <c r="B50" s="106" t="s">
        <v>40</v>
      </c>
      <c r="C50" s="106" t="s">
        <v>24</v>
      </c>
      <c r="D50" s="106" t="s">
        <v>37</v>
      </c>
      <c r="E50" s="107" t="s">
        <v>57</v>
      </c>
      <c r="F50" s="106" t="s">
        <v>43</v>
      </c>
      <c r="G50" s="107" t="str">
        <f t="shared" si="20"/>
        <v>NuevoCTCoreDAOMedia</v>
      </c>
      <c r="H50" s="106">
        <f t="shared" si="16"/>
        <v>0.75</v>
      </c>
      <c r="I50" s="106">
        <v>6</v>
      </c>
      <c r="J50" s="106"/>
      <c r="K50" s="106"/>
      <c r="L50" s="48"/>
    </row>
    <row r="51" spans="1:14" x14ac:dyDescent="0.35">
      <c r="A51" s="2">
        <v>48</v>
      </c>
      <c r="B51" s="106" t="s">
        <v>40</v>
      </c>
      <c r="C51" s="106" t="s">
        <v>24</v>
      </c>
      <c r="D51" s="106" t="s">
        <v>37</v>
      </c>
      <c r="E51" s="107" t="s">
        <v>57</v>
      </c>
      <c r="F51" s="106" t="s">
        <v>42</v>
      </c>
      <c r="G51" s="107" t="str">
        <f t="shared" si="20"/>
        <v>NuevoCTCoreDAOAlta</v>
      </c>
      <c r="H51" s="106">
        <f t="shared" si="16"/>
        <v>1.25</v>
      </c>
      <c r="I51" s="106">
        <v>10</v>
      </c>
      <c r="J51" s="106"/>
      <c r="K51" s="106"/>
      <c r="L51" s="48"/>
    </row>
    <row r="52" spans="1:14" x14ac:dyDescent="0.35">
      <c r="A52" s="2">
        <v>49</v>
      </c>
      <c r="B52" s="104" t="s">
        <v>40</v>
      </c>
      <c r="C52" s="104" t="s">
        <v>24</v>
      </c>
      <c r="D52" s="104" t="s">
        <v>37</v>
      </c>
      <c r="E52" s="105" t="s">
        <v>65</v>
      </c>
      <c r="F52" s="104" t="s">
        <v>44</v>
      </c>
      <c r="G52" s="105" t="str">
        <f t="shared" ref="G52:G54" si="21">CONCATENATE(B52,C52,D52,E52,F52)</f>
        <v>NuevoCTCoreBOBaja</v>
      </c>
      <c r="H52" s="104">
        <f t="shared" si="16"/>
        <v>6.25E-2</v>
      </c>
      <c r="I52" s="104">
        <v>0.5</v>
      </c>
      <c r="J52" s="104"/>
      <c r="K52" s="104"/>
      <c r="L52" s="48"/>
    </row>
    <row r="53" spans="1:14" x14ac:dyDescent="0.35">
      <c r="A53" s="2">
        <v>50</v>
      </c>
      <c r="B53" s="104" t="s">
        <v>40</v>
      </c>
      <c r="C53" s="104" t="s">
        <v>24</v>
      </c>
      <c r="D53" s="104" t="s">
        <v>37</v>
      </c>
      <c r="E53" s="105" t="s">
        <v>65</v>
      </c>
      <c r="F53" s="104" t="s">
        <v>43</v>
      </c>
      <c r="G53" s="105" t="str">
        <f t="shared" si="21"/>
        <v>NuevoCTCoreBOMedia</v>
      </c>
      <c r="H53" s="104">
        <f t="shared" si="16"/>
        <v>0.125</v>
      </c>
      <c r="I53" s="104">
        <v>1</v>
      </c>
      <c r="J53" s="104"/>
      <c r="K53" s="104"/>
      <c r="L53" s="48"/>
    </row>
    <row r="54" spans="1:14" x14ac:dyDescent="0.35">
      <c r="A54" s="2">
        <v>51</v>
      </c>
      <c r="B54" s="104" t="s">
        <v>40</v>
      </c>
      <c r="C54" s="104" t="s">
        <v>24</v>
      </c>
      <c r="D54" s="104" t="s">
        <v>37</v>
      </c>
      <c r="E54" s="105" t="s">
        <v>65</v>
      </c>
      <c r="F54" s="104" t="s">
        <v>42</v>
      </c>
      <c r="G54" s="105" t="str">
        <f t="shared" si="21"/>
        <v>NuevoCTCoreBOAlta</v>
      </c>
      <c r="H54" s="104">
        <f t="shared" si="16"/>
        <v>0.1875</v>
      </c>
      <c r="I54" s="104">
        <v>1.5</v>
      </c>
      <c r="J54" s="104"/>
      <c r="K54" s="104"/>
      <c r="L54" s="48"/>
    </row>
    <row r="55" spans="1:14" x14ac:dyDescent="0.35">
      <c r="A55" s="2">
        <v>52</v>
      </c>
      <c r="B55" s="106" t="s">
        <v>40</v>
      </c>
      <c r="C55" s="106" t="s">
        <v>24</v>
      </c>
      <c r="D55" s="106" t="s">
        <v>37</v>
      </c>
      <c r="E55" s="107" t="s">
        <v>66</v>
      </c>
      <c r="F55" s="106" t="s">
        <v>44</v>
      </c>
      <c r="G55" s="107" t="str">
        <f t="shared" ref="G55:G60" si="22">CONCATENATE(B55,C55,D55,E55,F55)</f>
        <v>NuevoCTCoreJASPERBaja</v>
      </c>
      <c r="H55" s="106">
        <f t="shared" si="16"/>
        <v>0.375</v>
      </c>
      <c r="I55" s="106">
        <v>3</v>
      </c>
      <c r="J55" s="106"/>
      <c r="K55" s="106"/>
      <c r="L55" s="48"/>
    </row>
    <row r="56" spans="1:14" x14ac:dyDescent="0.35">
      <c r="A56" s="2">
        <v>53</v>
      </c>
      <c r="B56" s="106" t="s">
        <v>40</v>
      </c>
      <c r="C56" s="106" t="s">
        <v>24</v>
      </c>
      <c r="D56" s="106" t="s">
        <v>37</v>
      </c>
      <c r="E56" s="107" t="s">
        <v>66</v>
      </c>
      <c r="F56" s="106" t="s">
        <v>43</v>
      </c>
      <c r="G56" s="107" t="str">
        <f t="shared" si="22"/>
        <v>NuevoCTCoreJASPERMedia</v>
      </c>
      <c r="H56" s="106">
        <f t="shared" si="16"/>
        <v>0.875</v>
      </c>
      <c r="I56" s="106">
        <v>7</v>
      </c>
      <c r="J56" s="106"/>
      <c r="K56" s="106"/>
      <c r="L56" s="48"/>
    </row>
    <row r="57" spans="1:14" x14ac:dyDescent="0.35">
      <c r="A57" s="2">
        <v>54</v>
      </c>
      <c r="B57" s="106" t="s">
        <v>40</v>
      </c>
      <c r="C57" s="106" t="s">
        <v>24</v>
      </c>
      <c r="D57" s="106" t="s">
        <v>37</v>
      </c>
      <c r="E57" s="107" t="s">
        <v>66</v>
      </c>
      <c r="F57" s="106" t="s">
        <v>42</v>
      </c>
      <c r="G57" s="107" t="str">
        <f t="shared" si="22"/>
        <v>NuevoCTCoreJASPERAlta</v>
      </c>
      <c r="H57" s="106">
        <f t="shared" si="16"/>
        <v>1.75</v>
      </c>
      <c r="I57" s="106">
        <v>14</v>
      </c>
      <c r="J57" s="106"/>
      <c r="K57" s="106"/>
      <c r="L57" s="48"/>
    </row>
    <row r="58" spans="1:14" x14ac:dyDescent="0.35">
      <c r="A58" s="2">
        <v>55</v>
      </c>
      <c r="B58" s="104" t="s">
        <v>40</v>
      </c>
      <c r="C58" s="104" t="s">
        <v>24</v>
      </c>
      <c r="D58" s="104" t="s">
        <v>37</v>
      </c>
      <c r="E58" s="105" t="s">
        <v>67</v>
      </c>
      <c r="F58" s="104" t="s">
        <v>44</v>
      </c>
      <c r="G58" s="105" t="str">
        <f t="shared" si="22"/>
        <v>NuevoCTCorePOIBaja</v>
      </c>
      <c r="H58" s="104">
        <f t="shared" si="16"/>
        <v>0.5</v>
      </c>
      <c r="I58" s="104">
        <v>4</v>
      </c>
      <c r="J58" s="104"/>
      <c r="K58" s="104"/>
      <c r="L58" s="48"/>
    </row>
    <row r="59" spans="1:14" x14ac:dyDescent="0.35">
      <c r="A59" s="2">
        <v>56</v>
      </c>
      <c r="B59" s="104" t="s">
        <v>40</v>
      </c>
      <c r="C59" s="104" t="s">
        <v>24</v>
      </c>
      <c r="D59" s="104" t="s">
        <v>37</v>
      </c>
      <c r="E59" s="105" t="s">
        <v>67</v>
      </c>
      <c r="F59" s="104" t="s">
        <v>43</v>
      </c>
      <c r="G59" s="105" t="str">
        <f t="shared" si="22"/>
        <v>NuevoCTCorePOIMedia</v>
      </c>
      <c r="H59" s="104">
        <f t="shared" si="16"/>
        <v>1.125</v>
      </c>
      <c r="I59" s="104">
        <v>9</v>
      </c>
      <c r="J59" s="104"/>
      <c r="K59" s="104"/>
      <c r="L59" s="48"/>
    </row>
    <row r="60" spans="1:14" x14ac:dyDescent="0.35">
      <c r="A60" s="2">
        <v>57</v>
      </c>
      <c r="B60" s="104" t="s">
        <v>40</v>
      </c>
      <c r="C60" s="104" t="s">
        <v>24</v>
      </c>
      <c r="D60" s="104" t="s">
        <v>37</v>
      </c>
      <c r="E60" s="105" t="s">
        <v>67</v>
      </c>
      <c r="F60" s="104" t="s">
        <v>42</v>
      </c>
      <c r="G60" s="105" t="str">
        <f t="shared" si="22"/>
        <v>NuevoCTCorePOIAlta</v>
      </c>
      <c r="H60" s="104">
        <f t="shared" si="16"/>
        <v>1.875</v>
      </c>
      <c r="I60" s="104">
        <v>15</v>
      </c>
      <c r="J60" s="104"/>
      <c r="K60" s="104"/>
      <c r="L60" s="48"/>
    </row>
    <row r="61" spans="1:14" x14ac:dyDescent="0.35">
      <c r="A61" s="2">
        <v>58</v>
      </c>
      <c r="B61" s="106" t="s">
        <v>40</v>
      </c>
      <c r="C61" s="106" t="s">
        <v>24</v>
      </c>
      <c r="D61" s="106" t="s">
        <v>37</v>
      </c>
      <c r="E61" s="107" t="s">
        <v>69</v>
      </c>
      <c r="F61" s="106" t="s">
        <v>44</v>
      </c>
      <c r="G61" s="107" t="str">
        <f t="shared" ref="G61:G63" si="23">CONCATENATE(B61,C61,D61,E61,F61)</f>
        <v>NuevoCTCoreJUNITBaja</v>
      </c>
      <c r="H61" s="106">
        <f t="shared" si="16"/>
        <v>0.25</v>
      </c>
      <c r="I61" s="106">
        <v>2</v>
      </c>
      <c r="J61" s="106"/>
      <c r="K61" s="106"/>
      <c r="L61" s="48"/>
    </row>
    <row r="62" spans="1:14" x14ac:dyDescent="0.35">
      <c r="A62" s="2">
        <v>59</v>
      </c>
      <c r="B62" s="106" t="s">
        <v>40</v>
      </c>
      <c r="C62" s="106" t="s">
        <v>24</v>
      </c>
      <c r="D62" s="106" t="s">
        <v>37</v>
      </c>
      <c r="E62" s="107" t="s">
        <v>69</v>
      </c>
      <c r="F62" s="106" t="s">
        <v>43</v>
      </c>
      <c r="G62" s="107" t="str">
        <f t="shared" si="23"/>
        <v>NuevoCTCoreJUNITMedia</v>
      </c>
      <c r="H62" s="106">
        <f t="shared" si="16"/>
        <v>0.625</v>
      </c>
      <c r="I62" s="106">
        <v>5</v>
      </c>
      <c r="J62" s="106"/>
      <c r="K62" s="106"/>
      <c r="L62" s="48"/>
    </row>
    <row r="63" spans="1:14" x14ac:dyDescent="0.35">
      <c r="A63" s="2">
        <v>60</v>
      </c>
      <c r="B63" s="106" t="s">
        <v>40</v>
      </c>
      <c r="C63" s="106" t="s">
        <v>24</v>
      </c>
      <c r="D63" s="106" t="s">
        <v>37</v>
      </c>
      <c r="E63" s="107" t="s">
        <v>69</v>
      </c>
      <c r="F63" s="106" t="s">
        <v>42</v>
      </c>
      <c r="G63" s="107" t="str">
        <f t="shared" si="23"/>
        <v>NuevoCTCoreJUNITAlta</v>
      </c>
      <c r="H63" s="106">
        <f t="shared" si="16"/>
        <v>1</v>
      </c>
      <c r="I63" s="106">
        <v>8</v>
      </c>
      <c r="J63" s="106"/>
      <c r="K63" s="106"/>
      <c r="L63" s="48"/>
    </row>
    <row r="64" spans="1:14" x14ac:dyDescent="0.35">
      <c r="A64" s="2">
        <v>61</v>
      </c>
      <c r="B64" s="104" t="s">
        <v>40</v>
      </c>
      <c r="C64" s="104" t="s">
        <v>24</v>
      </c>
      <c r="D64" s="104" t="s">
        <v>37</v>
      </c>
      <c r="E64" s="105" t="s">
        <v>97</v>
      </c>
      <c r="F64" s="104" t="s">
        <v>44</v>
      </c>
      <c r="G64" s="105" t="str">
        <f t="shared" ref="G64:G66" si="24">CONCATENATE(B64,C64,D64,E64,F64)</f>
        <v>NuevoCTCoreRefactor codigoBaja</v>
      </c>
      <c r="H64" s="104">
        <f t="shared" ref="H64:H66" si="25">I64/8</f>
        <v>0.375</v>
      </c>
      <c r="I64" s="104">
        <v>3</v>
      </c>
      <c r="J64" s="104"/>
      <c r="K64" s="104"/>
      <c r="L64" s="48"/>
      <c r="M64" s="48"/>
      <c r="N64" s="48"/>
    </row>
    <row r="65" spans="1:14" x14ac:dyDescent="0.35">
      <c r="A65" s="2">
        <v>62</v>
      </c>
      <c r="B65" s="104" t="s">
        <v>40</v>
      </c>
      <c r="C65" s="104" t="s">
        <v>24</v>
      </c>
      <c r="D65" s="104" t="s">
        <v>37</v>
      </c>
      <c r="E65" s="105" t="s">
        <v>97</v>
      </c>
      <c r="F65" s="104" t="s">
        <v>43</v>
      </c>
      <c r="G65" s="105" t="str">
        <f t="shared" si="24"/>
        <v>NuevoCTCoreRefactor codigoMedia</v>
      </c>
      <c r="H65" s="104">
        <f t="shared" si="25"/>
        <v>0.75</v>
      </c>
      <c r="I65" s="104">
        <v>6</v>
      </c>
      <c r="J65" s="104"/>
      <c r="K65" s="104"/>
      <c r="L65" s="48"/>
      <c r="M65" s="48"/>
      <c r="N65" s="48"/>
    </row>
    <row r="66" spans="1:14" x14ac:dyDescent="0.35">
      <c r="A66" s="2">
        <v>63</v>
      </c>
      <c r="B66" s="104" t="s">
        <v>40</v>
      </c>
      <c r="C66" s="104" t="s">
        <v>24</v>
      </c>
      <c r="D66" s="104" t="s">
        <v>37</v>
      </c>
      <c r="E66" s="105" t="s">
        <v>97</v>
      </c>
      <c r="F66" s="104" t="s">
        <v>42</v>
      </c>
      <c r="G66" s="105" t="str">
        <f t="shared" si="24"/>
        <v>NuevoCTCoreRefactor codigoAlta</v>
      </c>
      <c r="H66" s="104">
        <f t="shared" si="25"/>
        <v>1.5</v>
      </c>
      <c r="I66" s="104">
        <v>12</v>
      </c>
      <c r="J66" s="104"/>
      <c r="K66" s="104"/>
      <c r="L66" s="48"/>
      <c r="M66" s="48"/>
      <c r="N66" s="48"/>
    </row>
    <row r="67" spans="1:14" x14ac:dyDescent="0.35">
      <c r="A67" s="2">
        <v>64</v>
      </c>
      <c r="B67" s="106" t="s">
        <v>40</v>
      </c>
      <c r="C67" s="106" t="s">
        <v>24</v>
      </c>
      <c r="D67" s="106" t="s">
        <v>62</v>
      </c>
      <c r="E67" s="107" t="s">
        <v>99</v>
      </c>
      <c r="F67" s="106" t="s">
        <v>44</v>
      </c>
      <c r="G67" s="107" t="str">
        <f t="shared" ref="G67:G69" si="26">CONCATENATE(B67,C67,D67,E67,F67)</f>
        <v>NuevoCTAPIServicio APIBaja</v>
      </c>
      <c r="H67" s="106">
        <f t="shared" ref="H67:H69" si="27">I67/8</f>
        <v>0.25</v>
      </c>
      <c r="I67" s="106">
        <v>2</v>
      </c>
      <c r="J67" s="106"/>
      <c r="K67" s="106"/>
      <c r="L67" s="48"/>
      <c r="M67" s="48"/>
      <c r="N67" s="48"/>
    </row>
    <row r="68" spans="1:14" x14ac:dyDescent="0.35">
      <c r="A68" s="2">
        <v>65</v>
      </c>
      <c r="B68" s="106" t="s">
        <v>40</v>
      </c>
      <c r="C68" s="106" t="s">
        <v>24</v>
      </c>
      <c r="D68" s="106" t="s">
        <v>62</v>
      </c>
      <c r="E68" s="107" t="s">
        <v>99</v>
      </c>
      <c r="F68" s="106" t="s">
        <v>43</v>
      </c>
      <c r="G68" s="107" t="str">
        <f t="shared" si="26"/>
        <v>NuevoCTAPIServicio APIMedia</v>
      </c>
      <c r="H68" s="106">
        <f t="shared" si="27"/>
        <v>0.5</v>
      </c>
      <c r="I68" s="106">
        <v>4</v>
      </c>
      <c r="J68" s="106"/>
      <c r="K68" s="106"/>
      <c r="L68" s="48"/>
      <c r="M68" s="48"/>
      <c r="N68" s="48"/>
    </row>
    <row r="69" spans="1:14" x14ac:dyDescent="0.35">
      <c r="A69" s="2">
        <v>66</v>
      </c>
      <c r="B69" s="106" t="s">
        <v>40</v>
      </c>
      <c r="C69" s="106" t="s">
        <v>24</v>
      </c>
      <c r="D69" s="106" t="s">
        <v>62</v>
      </c>
      <c r="E69" s="107" t="s">
        <v>99</v>
      </c>
      <c r="F69" s="106" t="s">
        <v>42</v>
      </c>
      <c r="G69" s="107" t="str">
        <f t="shared" si="26"/>
        <v>NuevoCTAPIServicio APIAlta</v>
      </c>
      <c r="H69" s="106">
        <f t="shared" si="27"/>
        <v>1</v>
      </c>
      <c r="I69" s="106">
        <v>8</v>
      </c>
      <c r="J69" s="106"/>
      <c r="K69" s="106"/>
      <c r="L69" s="48"/>
      <c r="M69" s="48"/>
      <c r="N69" s="48"/>
    </row>
    <row r="70" spans="1:14" x14ac:dyDescent="0.35">
      <c r="A70" s="2">
        <v>67</v>
      </c>
      <c r="B70" s="104" t="s">
        <v>40</v>
      </c>
      <c r="C70" s="104" t="s">
        <v>24</v>
      </c>
      <c r="D70" s="104" t="s">
        <v>62</v>
      </c>
      <c r="E70" s="105" t="s">
        <v>61</v>
      </c>
      <c r="F70" s="104" t="s">
        <v>44</v>
      </c>
      <c r="G70" s="105" t="str">
        <f t="shared" ref="G70:G72" si="28">CONCATENATE(B70,C70,D70,E70,F70)</f>
        <v>NuevoCTAPIDTOBaja</v>
      </c>
      <c r="H70" s="104">
        <f t="shared" ref="H70:H133" si="29">I70/8</f>
        <v>6.25E-2</v>
      </c>
      <c r="I70" s="104">
        <v>0.5</v>
      </c>
      <c r="J70" s="104"/>
      <c r="K70" s="104"/>
      <c r="L70" s="48"/>
      <c r="M70" s="48"/>
      <c r="N70" s="48"/>
    </row>
    <row r="71" spans="1:14" x14ac:dyDescent="0.35">
      <c r="A71" s="2">
        <v>68</v>
      </c>
      <c r="B71" s="104" t="s">
        <v>40</v>
      </c>
      <c r="C71" s="104" t="s">
        <v>24</v>
      </c>
      <c r="D71" s="104" t="s">
        <v>62</v>
      </c>
      <c r="E71" s="105" t="s">
        <v>61</v>
      </c>
      <c r="F71" s="104" t="s">
        <v>43</v>
      </c>
      <c r="G71" s="105" t="str">
        <f t="shared" si="28"/>
        <v>NuevoCTAPIDTOMedia</v>
      </c>
      <c r="H71" s="104">
        <f t="shared" si="29"/>
        <v>0.125</v>
      </c>
      <c r="I71" s="104">
        <v>1</v>
      </c>
      <c r="J71" s="104"/>
      <c r="K71" s="104"/>
      <c r="L71" s="48"/>
      <c r="M71" s="48"/>
      <c r="N71" s="48"/>
    </row>
    <row r="72" spans="1:14" x14ac:dyDescent="0.35">
      <c r="A72" s="2">
        <v>69</v>
      </c>
      <c r="B72" s="104" t="s">
        <v>40</v>
      </c>
      <c r="C72" s="104" t="s">
        <v>24</v>
      </c>
      <c r="D72" s="104" t="s">
        <v>62</v>
      </c>
      <c r="E72" s="105" t="s">
        <v>61</v>
      </c>
      <c r="F72" s="104" t="s">
        <v>42</v>
      </c>
      <c r="G72" s="105" t="str">
        <f t="shared" si="28"/>
        <v>NuevoCTAPIDTOAlta</v>
      </c>
      <c r="H72" s="104">
        <f t="shared" si="29"/>
        <v>0.1875</v>
      </c>
      <c r="I72" s="104">
        <v>1.5</v>
      </c>
      <c r="J72" s="104"/>
      <c r="K72" s="104"/>
      <c r="L72" s="48"/>
      <c r="M72" s="48"/>
      <c r="N72" s="48"/>
    </row>
    <row r="73" spans="1:14" x14ac:dyDescent="0.35">
      <c r="A73" s="2">
        <v>70</v>
      </c>
      <c r="B73" s="106" t="s">
        <v>40</v>
      </c>
      <c r="C73" s="106" t="s">
        <v>24</v>
      </c>
      <c r="D73" s="106" t="s">
        <v>62</v>
      </c>
      <c r="E73" s="107" t="s">
        <v>88</v>
      </c>
      <c r="F73" s="106" t="s">
        <v>44</v>
      </c>
      <c r="G73" s="107" t="str">
        <f t="shared" ref="G73:G75" si="30">CONCATENATE(B73,C73,D73,E73,F73)</f>
        <v>NuevoCTAPIJUNIT ApiBaja</v>
      </c>
      <c r="H73" s="108">
        <f t="shared" si="29"/>
        <v>0</v>
      </c>
      <c r="I73" s="106">
        <v>0</v>
      </c>
      <c r="J73" s="106"/>
      <c r="K73" s="106"/>
      <c r="L73" s="48"/>
      <c r="M73" s="48"/>
    </row>
    <row r="74" spans="1:14" x14ac:dyDescent="0.35">
      <c r="A74" s="2">
        <v>71</v>
      </c>
      <c r="B74" s="106" t="s">
        <v>40</v>
      </c>
      <c r="C74" s="106" t="s">
        <v>24</v>
      </c>
      <c r="D74" s="106" t="s">
        <v>62</v>
      </c>
      <c r="E74" s="107" t="s">
        <v>88</v>
      </c>
      <c r="F74" s="106" t="s">
        <v>43</v>
      </c>
      <c r="G74" s="107" t="str">
        <f t="shared" si="30"/>
        <v>NuevoCTAPIJUNIT ApiMedia</v>
      </c>
      <c r="H74" s="108">
        <f t="shared" si="29"/>
        <v>0</v>
      </c>
      <c r="I74" s="106">
        <v>0</v>
      </c>
      <c r="J74" s="106"/>
      <c r="K74" s="106"/>
      <c r="L74" s="48"/>
      <c r="M74" s="48"/>
    </row>
    <row r="75" spans="1:14" x14ac:dyDescent="0.35">
      <c r="A75" s="2">
        <v>72</v>
      </c>
      <c r="B75" s="106" t="s">
        <v>40</v>
      </c>
      <c r="C75" s="106" t="s">
        <v>24</v>
      </c>
      <c r="D75" s="106" t="s">
        <v>62</v>
      </c>
      <c r="E75" s="107" t="s">
        <v>88</v>
      </c>
      <c r="F75" s="106" t="s">
        <v>42</v>
      </c>
      <c r="G75" s="107" t="str">
        <f t="shared" si="30"/>
        <v>NuevoCTAPIJUNIT ApiAlta</v>
      </c>
      <c r="H75" s="108">
        <f t="shared" si="29"/>
        <v>0</v>
      </c>
      <c r="I75" s="106">
        <v>0</v>
      </c>
      <c r="J75" s="106"/>
      <c r="K75" s="106"/>
      <c r="L75" s="48"/>
      <c r="M75" s="48"/>
    </row>
    <row r="76" spans="1:14" x14ac:dyDescent="0.35">
      <c r="A76" s="2">
        <v>73</v>
      </c>
      <c r="B76" s="104" t="s">
        <v>40</v>
      </c>
      <c r="C76" s="104" t="s">
        <v>24</v>
      </c>
      <c r="D76" s="104" t="s">
        <v>62</v>
      </c>
      <c r="E76" s="105" t="s">
        <v>97</v>
      </c>
      <c r="F76" s="104" t="s">
        <v>44</v>
      </c>
      <c r="G76" s="105" t="str">
        <f t="shared" ref="G76:G78" si="31">CONCATENATE(B76,C76,D76,E76,F76)</f>
        <v>NuevoCTAPIRefactor codigoBaja</v>
      </c>
      <c r="H76" s="104">
        <f t="shared" si="29"/>
        <v>0.25</v>
      </c>
      <c r="I76" s="104">
        <v>2</v>
      </c>
      <c r="J76" s="104"/>
      <c r="K76" s="104"/>
      <c r="L76" s="48"/>
      <c r="M76" s="48"/>
      <c r="N76" s="48"/>
    </row>
    <row r="77" spans="1:14" x14ac:dyDescent="0.35">
      <c r="A77" s="2">
        <v>74</v>
      </c>
      <c r="B77" s="104" t="s">
        <v>40</v>
      </c>
      <c r="C77" s="104" t="s">
        <v>24</v>
      </c>
      <c r="D77" s="104" t="s">
        <v>62</v>
      </c>
      <c r="E77" s="105" t="s">
        <v>97</v>
      </c>
      <c r="F77" s="104" t="s">
        <v>43</v>
      </c>
      <c r="G77" s="105" t="str">
        <f t="shared" si="31"/>
        <v>NuevoCTAPIRefactor codigoMedia</v>
      </c>
      <c r="H77" s="104">
        <f t="shared" si="29"/>
        <v>0.375</v>
      </c>
      <c r="I77" s="104">
        <v>3</v>
      </c>
      <c r="J77" s="104"/>
      <c r="K77" s="104"/>
      <c r="L77" s="48"/>
      <c r="M77" s="48"/>
      <c r="N77" s="48"/>
    </row>
    <row r="78" spans="1:14" x14ac:dyDescent="0.35">
      <c r="A78" s="2">
        <v>75</v>
      </c>
      <c r="B78" s="104" t="s">
        <v>40</v>
      </c>
      <c r="C78" s="104" t="s">
        <v>24</v>
      </c>
      <c r="D78" s="104" t="s">
        <v>62</v>
      </c>
      <c r="E78" s="105" t="s">
        <v>97</v>
      </c>
      <c r="F78" s="104" t="s">
        <v>42</v>
      </c>
      <c r="G78" s="105" t="str">
        <f t="shared" si="31"/>
        <v>NuevoCTAPIRefactor codigoAlta</v>
      </c>
      <c r="H78" s="104">
        <f t="shared" si="29"/>
        <v>0.5</v>
      </c>
      <c r="I78" s="104">
        <v>4</v>
      </c>
      <c r="J78" s="104"/>
      <c r="K78" s="104"/>
      <c r="L78" s="48"/>
      <c r="M78" s="48"/>
      <c r="N78" s="48"/>
    </row>
    <row r="79" spans="1:14" x14ac:dyDescent="0.35">
      <c r="A79" s="2">
        <v>76</v>
      </c>
      <c r="B79" s="106" t="s">
        <v>40</v>
      </c>
      <c r="C79" s="106" t="s">
        <v>24</v>
      </c>
      <c r="D79" s="106" t="s">
        <v>38</v>
      </c>
      <c r="E79" s="107" t="s">
        <v>59</v>
      </c>
      <c r="F79" s="106" t="s">
        <v>44</v>
      </c>
      <c r="G79" s="107" t="str">
        <f t="shared" ref="G79:G81" si="32">CONCATENATE(B79,C79,D79,E79,F79)</f>
        <v>NuevoCTFrontalControladorBaja</v>
      </c>
      <c r="H79" s="106">
        <f t="shared" si="29"/>
        <v>0.25</v>
      </c>
      <c r="I79" s="106">
        <v>2</v>
      </c>
      <c r="J79" s="106"/>
      <c r="K79" s="106"/>
      <c r="L79" s="48"/>
      <c r="M79" s="48"/>
      <c r="N79" s="48"/>
    </row>
    <row r="80" spans="1:14" x14ac:dyDescent="0.35">
      <c r="A80" s="2">
        <v>77</v>
      </c>
      <c r="B80" s="106" t="s">
        <v>40</v>
      </c>
      <c r="C80" s="106" t="s">
        <v>24</v>
      </c>
      <c r="D80" s="106" t="s">
        <v>38</v>
      </c>
      <c r="E80" s="107" t="s">
        <v>59</v>
      </c>
      <c r="F80" s="106" t="s">
        <v>43</v>
      </c>
      <c r="G80" s="107" t="str">
        <f t="shared" si="32"/>
        <v>NuevoCTFrontalControladorMedia</v>
      </c>
      <c r="H80" s="106">
        <f t="shared" si="29"/>
        <v>0.5</v>
      </c>
      <c r="I80" s="106">
        <v>4</v>
      </c>
      <c r="J80" s="106"/>
      <c r="K80" s="106"/>
      <c r="L80" s="48"/>
      <c r="M80" s="48"/>
      <c r="N80" s="48"/>
    </row>
    <row r="81" spans="1:14" x14ac:dyDescent="0.35">
      <c r="A81" s="2">
        <v>78</v>
      </c>
      <c r="B81" s="106" t="s">
        <v>40</v>
      </c>
      <c r="C81" s="106" t="s">
        <v>24</v>
      </c>
      <c r="D81" s="106" t="s">
        <v>38</v>
      </c>
      <c r="E81" s="107" t="s">
        <v>59</v>
      </c>
      <c r="F81" s="106" t="s">
        <v>42</v>
      </c>
      <c r="G81" s="107" t="str">
        <f t="shared" si="32"/>
        <v>NuevoCTFrontalControladorAlta</v>
      </c>
      <c r="H81" s="106">
        <f t="shared" si="29"/>
        <v>0.75</v>
      </c>
      <c r="I81" s="106">
        <v>6</v>
      </c>
      <c r="J81" s="106"/>
      <c r="K81" s="106"/>
      <c r="L81" s="48"/>
      <c r="M81" s="48"/>
      <c r="N81" s="48"/>
    </row>
    <row r="82" spans="1:14" x14ac:dyDescent="0.35">
      <c r="A82" s="2">
        <v>79</v>
      </c>
      <c r="B82" s="104" t="s">
        <v>40</v>
      </c>
      <c r="C82" s="104" t="s">
        <v>24</v>
      </c>
      <c r="D82" s="104" t="s">
        <v>38</v>
      </c>
      <c r="E82" s="105" t="s">
        <v>58</v>
      </c>
      <c r="F82" s="104" t="s">
        <v>44</v>
      </c>
      <c r="G82" s="105" t="str">
        <f t="shared" si="0"/>
        <v>NuevoCTFrontalJSBaja</v>
      </c>
      <c r="H82" s="104">
        <f t="shared" si="29"/>
        <v>0.5</v>
      </c>
      <c r="I82" s="104">
        <v>4</v>
      </c>
      <c r="J82" s="104"/>
      <c r="K82" s="104"/>
      <c r="L82" s="48"/>
      <c r="M82" s="48"/>
      <c r="N82" s="48"/>
    </row>
    <row r="83" spans="1:14" x14ac:dyDescent="0.35">
      <c r="A83" s="2">
        <v>80</v>
      </c>
      <c r="B83" s="104" t="s">
        <v>40</v>
      </c>
      <c r="C83" s="104" t="s">
        <v>24</v>
      </c>
      <c r="D83" s="104" t="s">
        <v>38</v>
      </c>
      <c r="E83" s="105" t="s">
        <v>58</v>
      </c>
      <c r="F83" s="104" t="s">
        <v>43</v>
      </c>
      <c r="G83" s="105" t="str">
        <f t="shared" si="0"/>
        <v>NuevoCTFrontalJSMedia</v>
      </c>
      <c r="H83" s="104">
        <f t="shared" si="29"/>
        <v>0.875</v>
      </c>
      <c r="I83" s="104">
        <v>7</v>
      </c>
      <c r="J83" s="104"/>
      <c r="K83" s="104"/>
      <c r="L83" s="48"/>
      <c r="N83" s="48"/>
    </row>
    <row r="84" spans="1:14" x14ac:dyDescent="0.35">
      <c r="A84" s="2">
        <v>81</v>
      </c>
      <c r="B84" s="104" t="s">
        <v>40</v>
      </c>
      <c r="C84" s="104" t="s">
        <v>24</v>
      </c>
      <c r="D84" s="104" t="s">
        <v>38</v>
      </c>
      <c r="E84" s="105" t="s">
        <v>58</v>
      </c>
      <c r="F84" s="104" t="s">
        <v>42</v>
      </c>
      <c r="G84" s="105" t="str">
        <f t="shared" si="0"/>
        <v>NuevoCTFrontalJSAlta</v>
      </c>
      <c r="H84" s="104">
        <f t="shared" si="29"/>
        <v>1.25</v>
      </c>
      <c r="I84" s="104">
        <v>10</v>
      </c>
      <c r="J84" s="104"/>
      <c r="K84" s="104"/>
      <c r="L84" s="48"/>
      <c r="N84" s="45"/>
    </row>
    <row r="85" spans="1:14" x14ac:dyDescent="0.35">
      <c r="A85" s="2">
        <v>82</v>
      </c>
      <c r="B85" s="106" t="s">
        <v>40</v>
      </c>
      <c r="C85" s="106" t="s">
        <v>24</v>
      </c>
      <c r="D85" s="106" t="s">
        <v>38</v>
      </c>
      <c r="E85" s="107" t="s">
        <v>60</v>
      </c>
      <c r="F85" s="106" t="s">
        <v>44</v>
      </c>
      <c r="G85" s="107" t="str">
        <f t="shared" si="0"/>
        <v>NuevoCTFrontalHTMLBaja</v>
      </c>
      <c r="H85" s="106">
        <f t="shared" si="29"/>
        <v>0.625</v>
      </c>
      <c r="I85" s="106">
        <v>5</v>
      </c>
      <c r="J85" s="106"/>
      <c r="K85" s="106"/>
      <c r="L85" s="48"/>
    </row>
    <row r="86" spans="1:14" x14ac:dyDescent="0.35">
      <c r="A86" s="2">
        <v>83</v>
      </c>
      <c r="B86" s="106" t="s">
        <v>40</v>
      </c>
      <c r="C86" s="106" t="s">
        <v>24</v>
      </c>
      <c r="D86" s="106" t="s">
        <v>38</v>
      </c>
      <c r="E86" s="107" t="s">
        <v>60</v>
      </c>
      <c r="F86" s="106" t="s">
        <v>43</v>
      </c>
      <c r="G86" s="107" t="str">
        <f t="shared" si="0"/>
        <v>NuevoCTFrontalHTMLMedia</v>
      </c>
      <c r="H86" s="106">
        <f t="shared" si="29"/>
        <v>1.5</v>
      </c>
      <c r="I86" s="106">
        <v>12</v>
      </c>
      <c r="J86" s="106"/>
      <c r="K86" s="106"/>
      <c r="L86" s="48"/>
    </row>
    <row r="87" spans="1:14" x14ac:dyDescent="0.35">
      <c r="A87" s="2">
        <v>84</v>
      </c>
      <c r="B87" s="106" t="s">
        <v>40</v>
      </c>
      <c r="C87" s="106" t="s">
        <v>24</v>
      </c>
      <c r="D87" s="106" t="s">
        <v>38</v>
      </c>
      <c r="E87" s="107" t="s">
        <v>60</v>
      </c>
      <c r="F87" s="106" t="s">
        <v>42</v>
      </c>
      <c r="G87" s="107" t="str">
        <f t="shared" si="0"/>
        <v>NuevoCTFrontalHTMLAlta</v>
      </c>
      <c r="H87" s="106">
        <f t="shared" si="29"/>
        <v>1.875</v>
      </c>
      <c r="I87" s="106">
        <v>15</v>
      </c>
      <c r="J87" s="106"/>
      <c r="K87" s="106"/>
      <c r="L87" s="48"/>
    </row>
    <row r="88" spans="1:14" x14ac:dyDescent="0.35">
      <c r="A88" s="2">
        <v>85</v>
      </c>
      <c r="B88" s="104" t="s">
        <v>40</v>
      </c>
      <c r="C88" s="104" t="s">
        <v>24</v>
      </c>
      <c r="D88" s="104" t="s">
        <v>38</v>
      </c>
      <c r="E88" s="105" t="s">
        <v>90</v>
      </c>
      <c r="F88" s="104" t="s">
        <v>44</v>
      </c>
      <c r="G88" s="105" t="str">
        <f t="shared" si="0"/>
        <v>NuevoCTFrontalJUNIT JSBaja</v>
      </c>
      <c r="H88" s="104">
        <f t="shared" si="29"/>
        <v>0</v>
      </c>
      <c r="I88" s="104">
        <v>0</v>
      </c>
      <c r="J88" s="104"/>
      <c r="K88" s="104"/>
      <c r="L88" s="48"/>
    </row>
    <row r="89" spans="1:14" x14ac:dyDescent="0.35">
      <c r="A89" s="2">
        <v>86</v>
      </c>
      <c r="B89" s="104" t="s">
        <v>40</v>
      </c>
      <c r="C89" s="104" t="s">
        <v>24</v>
      </c>
      <c r="D89" s="104" t="s">
        <v>38</v>
      </c>
      <c r="E89" s="105" t="s">
        <v>90</v>
      </c>
      <c r="F89" s="104" t="s">
        <v>43</v>
      </c>
      <c r="G89" s="105" t="str">
        <f t="shared" si="0"/>
        <v>NuevoCTFrontalJUNIT JSMedia</v>
      </c>
      <c r="H89" s="104">
        <f t="shared" si="29"/>
        <v>0</v>
      </c>
      <c r="I89" s="104">
        <v>0</v>
      </c>
      <c r="J89" s="104"/>
      <c r="K89" s="104"/>
      <c r="L89" s="48"/>
    </row>
    <row r="90" spans="1:14" x14ac:dyDescent="0.35">
      <c r="A90" s="2">
        <v>87</v>
      </c>
      <c r="B90" s="104" t="s">
        <v>40</v>
      </c>
      <c r="C90" s="104" t="s">
        <v>24</v>
      </c>
      <c r="D90" s="104" t="s">
        <v>38</v>
      </c>
      <c r="E90" s="105" t="s">
        <v>90</v>
      </c>
      <c r="F90" s="104" t="s">
        <v>42</v>
      </c>
      <c r="G90" s="105" t="str">
        <f t="shared" si="0"/>
        <v>NuevoCTFrontalJUNIT JSAlta</v>
      </c>
      <c r="H90" s="104">
        <f t="shared" si="29"/>
        <v>0</v>
      </c>
      <c r="I90" s="104">
        <v>0</v>
      </c>
      <c r="J90" s="104"/>
      <c r="K90" s="104"/>
      <c r="L90" s="48"/>
    </row>
    <row r="91" spans="1:14" x14ac:dyDescent="0.35">
      <c r="A91" s="2">
        <v>88</v>
      </c>
      <c r="B91" s="106" t="s">
        <v>40</v>
      </c>
      <c r="C91" s="106" t="s">
        <v>24</v>
      </c>
      <c r="D91" s="106" t="s">
        <v>38</v>
      </c>
      <c r="E91" s="107" t="s">
        <v>89</v>
      </c>
      <c r="F91" s="106" t="s">
        <v>44</v>
      </c>
      <c r="G91" s="107" t="str">
        <f t="shared" si="0"/>
        <v>NuevoCTFrontalJUNIT ControllerBaja</v>
      </c>
      <c r="H91" s="106">
        <f t="shared" si="29"/>
        <v>0</v>
      </c>
      <c r="I91" s="106">
        <v>0</v>
      </c>
      <c r="J91" s="106"/>
      <c r="K91" s="106"/>
      <c r="L91" s="48"/>
    </row>
    <row r="92" spans="1:14" x14ac:dyDescent="0.35">
      <c r="A92" s="2">
        <v>89</v>
      </c>
      <c r="B92" s="106" t="s">
        <v>40</v>
      </c>
      <c r="C92" s="106" t="s">
        <v>24</v>
      </c>
      <c r="D92" s="106" t="s">
        <v>38</v>
      </c>
      <c r="E92" s="107" t="s">
        <v>89</v>
      </c>
      <c r="F92" s="106" t="s">
        <v>43</v>
      </c>
      <c r="G92" s="107" t="str">
        <f t="shared" si="0"/>
        <v>NuevoCTFrontalJUNIT ControllerMedia</v>
      </c>
      <c r="H92" s="106">
        <f t="shared" si="29"/>
        <v>0</v>
      </c>
      <c r="I92" s="106">
        <v>0</v>
      </c>
      <c r="J92" s="106"/>
      <c r="K92" s="106"/>
      <c r="L92" s="48"/>
    </row>
    <row r="93" spans="1:14" x14ac:dyDescent="0.35">
      <c r="A93" s="2">
        <v>90</v>
      </c>
      <c r="B93" s="106" t="s">
        <v>40</v>
      </c>
      <c r="C93" s="106" t="s">
        <v>24</v>
      </c>
      <c r="D93" s="106" t="s">
        <v>38</v>
      </c>
      <c r="E93" s="107" t="s">
        <v>89</v>
      </c>
      <c r="F93" s="106" t="s">
        <v>42</v>
      </c>
      <c r="G93" s="107" t="str">
        <f t="shared" si="0"/>
        <v>NuevoCTFrontalJUNIT ControllerAlta</v>
      </c>
      <c r="H93" s="106">
        <f t="shared" si="29"/>
        <v>0</v>
      </c>
      <c r="I93" s="106">
        <v>0</v>
      </c>
      <c r="J93" s="106"/>
      <c r="K93" s="106"/>
      <c r="L93" s="48"/>
    </row>
    <row r="94" spans="1:14" x14ac:dyDescent="0.35">
      <c r="A94" s="2">
        <v>91</v>
      </c>
      <c r="B94" s="104" t="s">
        <v>40</v>
      </c>
      <c r="C94" s="104" t="s">
        <v>24</v>
      </c>
      <c r="D94" s="104" t="s">
        <v>38</v>
      </c>
      <c r="E94" s="105" t="s">
        <v>97</v>
      </c>
      <c r="F94" s="104" t="s">
        <v>44</v>
      </c>
      <c r="G94" s="105" t="str">
        <f t="shared" si="0"/>
        <v>NuevoCTFrontalRefactor codigoBaja</v>
      </c>
      <c r="H94" s="104">
        <f t="shared" si="29"/>
        <v>0.375</v>
      </c>
      <c r="I94" s="104">
        <v>3</v>
      </c>
      <c r="J94" s="104"/>
      <c r="K94" s="104"/>
      <c r="L94" s="45"/>
    </row>
    <row r="95" spans="1:14" x14ac:dyDescent="0.35">
      <c r="A95" s="2">
        <v>92</v>
      </c>
      <c r="B95" s="104" t="s">
        <v>40</v>
      </c>
      <c r="C95" s="104" t="s">
        <v>24</v>
      </c>
      <c r="D95" s="104" t="s">
        <v>38</v>
      </c>
      <c r="E95" s="105" t="s">
        <v>97</v>
      </c>
      <c r="F95" s="104" t="s">
        <v>43</v>
      </c>
      <c r="G95" s="105" t="str">
        <f t="shared" si="0"/>
        <v>NuevoCTFrontalRefactor codigoMedia</v>
      </c>
      <c r="H95" s="104">
        <f t="shared" si="29"/>
        <v>0.75</v>
      </c>
      <c r="I95" s="104">
        <v>6</v>
      </c>
      <c r="J95" s="104"/>
      <c r="K95" s="104"/>
      <c r="L95" s="48"/>
    </row>
    <row r="96" spans="1:14" x14ac:dyDescent="0.35">
      <c r="A96" s="2">
        <v>93</v>
      </c>
      <c r="B96" s="104" t="s">
        <v>40</v>
      </c>
      <c r="C96" s="104" t="s">
        <v>24</v>
      </c>
      <c r="D96" s="104" t="s">
        <v>38</v>
      </c>
      <c r="E96" s="105" t="s">
        <v>97</v>
      </c>
      <c r="F96" s="104" t="s">
        <v>42</v>
      </c>
      <c r="G96" s="105" t="str">
        <f t="shared" si="0"/>
        <v>NuevoCTFrontalRefactor codigoAlta</v>
      </c>
      <c r="H96" s="104">
        <f t="shared" si="29"/>
        <v>1.125</v>
      </c>
      <c r="I96" s="104">
        <v>9</v>
      </c>
      <c r="J96" s="104"/>
      <c r="K96" s="104"/>
      <c r="L96" s="48"/>
    </row>
    <row r="97" spans="1:12" x14ac:dyDescent="0.35">
      <c r="A97" s="2">
        <v>94</v>
      </c>
      <c r="B97" s="106" t="s">
        <v>40</v>
      </c>
      <c r="C97" s="106" t="s">
        <v>24</v>
      </c>
      <c r="D97" s="106" t="s">
        <v>39</v>
      </c>
      <c r="E97" s="107" t="s">
        <v>75</v>
      </c>
      <c r="F97" s="106" t="s">
        <v>44</v>
      </c>
      <c r="G97" s="107" t="str">
        <f t="shared" ref="G97:G160" si="33">CONCATENATE(B97,C97,D97,E97,F97)</f>
        <v>NuevoCTGeneralConstrucionBaja</v>
      </c>
      <c r="H97" s="106">
        <f t="shared" si="29"/>
        <v>0.375</v>
      </c>
      <c r="I97" s="106">
        <v>3</v>
      </c>
      <c r="J97" s="106"/>
      <c r="K97" s="106"/>
      <c r="L97" s="48"/>
    </row>
    <row r="98" spans="1:12" x14ac:dyDescent="0.35">
      <c r="A98" s="2">
        <v>95</v>
      </c>
      <c r="B98" s="106" t="s">
        <v>40</v>
      </c>
      <c r="C98" s="106" t="s">
        <v>24</v>
      </c>
      <c r="D98" s="106" t="s">
        <v>39</v>
      </c>
      <c r="E98" s="107" t="s">
        <v>75</v>
      </c>
      <c r="F98" s="106" t="s">
        <v>43</v>
      </c>
      <c r="G98" s="107" t="str">
        <f t="shared" si="33"/>
        <v>NuevoCTGeneralConstrucionMedia</v>
      </c>
      <c r="H98" s="106">
        <f t="shared" si="29"/>
        <v>0.75</v>
      </c>
      <c r="I98" s="106">
        <v>6</v>
      </c>
      <c r="J98" s="106"/>
      <c r="K98" s="106"/>
      <c r="L98" s="45"/>
    </row>
    <row r="99" spans="1:12" x14ac:dyDescent="0.35">
      <c r="A99" s="2">
        <v>96</v>
      </c>
      <c r="B99" s="106" t="s">
        <v>40</v>
      </c>
      <c r="C99" s="106" t="s">
        <v>24</v>
      </c>
      <c r="D99" s="106" t="s">
        <v>39</v>
      </c>
      <c r="E99" s="107" t="s">
        <v>75</v>
      </c>
      <c r="F99" s="106" t="s">
        <v>42</v>
      </c>
      <c r="G99" s="107" t="str">
        <f t="shared" si="33"/>
        <v>NuevoCTGeneralConstrucionAlta</v>
      </c>
      <c r="H99" s="106">
        <f t="shared" si="29"/>
        <v>1.125</v>
      </c>
      <c r="I99" s="106">
        <v>9</v>
      </c>
      <c r="J99" s="106"/>
      <c r="K99" s="106"/>
      <c r="L99" s="48"/>
    </row>
    <row r="100" spans="1:12" x14ac:dyDescent="0.35">
      <c r="A100" s="2">
        <v>97</v>
      </c>
      <c r="B100" s="104" t="s">
        <v>40</v>
      </c>
      <c r="C100" s="104" t="s">
        <v>33</v>
      </c>
      <c r="D100" s="104" t="s">
        <v>57</v>
      </c>
      <c r="E100" s="105" t="s">
        <v>92</v>
      </c>
      <c r="F100" s="104" t="s">
        <v>44</v>
      </c>
      <c r="G100" s="105" t="str">
        <f t="shared" si="33"/>
        <v>NuevoMDDAOToma RequerimientosBaja</v>
      </c>
      <c r="H100" s="104">
        <f t="shared" si="29"/>
        <v>0.125</v>
      </c>
      <c r="I100" s="104">
        <v>1</v>
      </c>
      <c r="J100" s="104"/>
      <c r="K100" s="104"/>
      <c r="L100" s="48"/>
    </row>
    <row r="101" spans="1:12" x14ac:dyDescent="0.35">
      <c r="A101" s="2">
        <v>98</v>
      </c>
      <c r="B101" s="104" t="s">
        <v>40</v>
      </c>
      <c r="C101" s="104" t="s">
        <v>33</v>
      </c>
      <c r="D101" s="104" t="s">
        <v>57</v>
      </c>
      <c r="E101" s="105" t="s">
        <v>92</v>
      </c>
      <c r="F101" s="104" t="s">
        <v>43</v>
      </c>
      <c r="G101" s="105" t="str">
        <f t="shared" si="33"/>
        <v>NuevoMDDAOToma RequerimientosMedia</v>
      </c>
      <c r="H101" s="104">
        <f t="shared" si="29"/>
        <v>0.125</v>
      </c>
      <c r="I101" s="104">
        <v>1</v>
      </c>
      <c r="J101" s="104"/>
      <c r="K101" s="104"/>
      <c r="L101" s="48"/>
    </row>
    <row r="102" spans="1:12" x14ac:dyDescent="0.35">
      <c r="A102" s="2">
        <v>99</v>
      </c>
      <c r="B102" s="104" t="s">
        <v>40</v>
      </c>
      <c r="C102" s="104" t="s">
        <v>33</v>
      </c>
      <c r="D102" s="104" t="s">
        <v>57</v>
      </c>
      <c r="E102" s="105" t="s">
        <v>92</v>
      </c>
      <c r="F102" s="104" t="s">
        <v>42</v>
      </c>
      <c r="G102" s="105" t="str">
        <f t="shared" si="33"/>
        <v>NuevoMDDAOToma RequerimientosAlta</v>
      </c>
      <c r="H102" s="104">
        <f t="shared" si="29"/>
        <v>0.125</v>
      </c>
      <c r="I102" s="104">
        <v>1</v>
      </c>
      <c r="J102" s="104"/>
      <c r="K102" s="104"/>
      <c r="L102" s="45"/>
    </row>
    <row r="103" spans="1:12" x14ac:dyDescent="0.35">
      <c r="A103" s="2">
        <v>100</v>
      </c>
      <c r="B103" s="106" t="s">
        <v>40</v>
      </c>
      <c r="C103" s="106" t="s">
        <v>33</v>
      </c>
      <c r="D103" s="106" t="s">
        <v>57</v>
      </c>
      <c r="E103" s="107" t="s">
        <v>93</v>
      </c>
      <c r="F103" s="106" t="s">
        <v>44</v>
      </c>
      <c r="G103" s="107" t="str">
        <f t="shared" si="33"/>
        <v>NuevoMDDAOEspera ImplementacionBaja</v>
      </c>
      <c r="H103" s="106">
        <f t="shared" si="29"/>
        <v>0.5</v>
      </c>
      <c r="I103" s="106">
        <v>4</v>
      </c>
      <c r="J103" s="106"/>
      <c r="K103" s="106"/>
      <c r="L103" s="48"/>
    </row>
    <row r="104" spans="1:12" x14ac:dyDescent="0.35">
      <c r="A104" s="2">
        <v>101</v>
      </c>
      <c r="B104" s="106" t="s">
        <v>40</v>
      </c>
      <c r="C104" s="106" t="s">
        <v>33</v>
      </c>
      <c r="D104" s="106" t="s">
        <v>57</v>
      </c>
      <c r="E104" s="107" t="s">
        <v>93</v>
      </c>
      <c r="F104" s="106" t="s">
        <v>43</v>
      </c>
      <c r="G104" s="107" t="str">
        <f t="shared" si="33"/>
        <v>NuevoMDDAOEspera ImplementacionMedia</v>
      </c>
      <c r="H104" s="106">
        <f t="shared" si="29"/>
        <v>0.75</v>
      </c>
      <c r="I104" s="106">
        <v>6</v>
      </c>
      <c r="J104" s="106"/>
      <c r="K104" s="106"/>
      <c r="L104" s="48"/>
    </row>
    <row r="105" spans="1:12" x14ac:dyDescent="0.35">
      <c r="A105" s="2">
        <v>102</v>
      </c>
      <c r="B105" s="106" t="s">
        <v>40</v>
      </c>
      <c r="C105" s="106" t="s">
        <v>33</v>
      </c>
      <c r="D105" s="106" t="s">
        <v>57</v>
      </c>
      <c r="E105" s="107" t="s">
        <v>93</v>
      </c>
      <c r="F105" s="106" t="s">
        <v>42</v>
      </c>
      <c r="G105" s="107" t="str">
        <f t="shared" si="33"/>
        <v>NuevoMDDAOEspera ImplementacionAlta</v>
      </c>
      <c r="H105" s="106">
        <f t="shared" si="29"/>
        <v>1.5</v>
      </c>
      <c r="I105" s="106">
        <v>12</v>
      </c>
      <c r="J105" s="106"/>
      <c r="K105" s="106"/>
      <c r="L105" s="48"/>
    </row>
    <row r="106" spans="1:12" x14ac:dyDescent="0.35">
      <c r="A106" s="2">
        <v>103</v>
      </c>
      <c r="B106" s="104" t="s">
        <v>40</v>
      </c>
      <c r="C106" s="104" t="s">
        <v>33</v>
      </c>
      <c r="D106" s="106" t="s">
        <v>57</v>
      </c>
      <c r="E106" s="105" t="s">
        <v>100</v>
      </c>
      <c r="F106" s="104" t="s">
        <v>44</v>
      </c>
      <c r="G106" s="105" t="str">
        <f t="shared" si="33"/>
        <v>NuevoMDDAOOperar Base DatosBaja</v>
      </c>
      <c r="H106" s="104">
        <f t="shared" si="29"/>
        <v>0.125</v>
      </c>
      <c r="I106" s="104">
        <v>1</v>
      </c>
      <c r="J106" s="104"/>
      <c r="K106" s="104"/>
      <c r="L106" s="48"/>
    </row>
    <row r="107" spans="1:12" x14ac:dyDescent="0.35">
      <c r="A107" s="2">
        <v>104</v>
      </c>
      <c r="B107" s="104" t="s">
        <v>40</v>
      </c>
      <c r="C107" s="104" t="s">
        <v>33</v>
      </c>
      <c r="D107" s="106" t="s">
        <v>57</v>
      </c>
      <c r="E107" s="105" t="s">
        <v>100</v>
      </c>
      <c r="F107" s="104" t="s">
        <v>43</v>
      </c>
      <c r="G107" s="105" t="str">
        <f t="shared" si="33"/>
        <v>NuevoMDDAOOperar Base DatosMedia</v>
      </c>
      <c r="H107" s="104">
        <f t="shared" si="29"/>
        <v>0.125</v>
      </c>
      <c r="I107" s="104">
        <v>1</v>
      </c>
      <c r="J107" s="104"/>
      <c r="K107" s="104"/>
      <c r="L107" s="48"/>
    </row>
    <row r="108" spans="1:12" x14ac:dyDescent="0.35">
      <c r="A108" s="2">
        <v>105</v>
      </c>
      <c r="B108" s="104" t="s">
        <v>40</v>
      </c>
      <c r="C108" s="104" t="s">
        <v>33</v>
      </c>
      <c r="D108" s="106" t="s">
        <v>57</v>
      </c>
      <c r="E108" s="105" t="s">
        <v>100</v>
      </c>
      <c r="F108" s="104" t="s">
        <v>42</v>
      </c>
      <c r="G108" s="105" t="str">
        <f t="shared" si="33"/>
        <v>NuevoMDDAOOperar Base DatosAlta</v>
      </c>
      <c r="H108" s="104">
        <f t="shared" si="29"/>
        <v>0.125</v>
      </c>
      <c r="I108" s="104">
        <v>1</v>
      </c>
      <c r="J108" s="104"/>
      <c r="K108" s="104"/>
      <c r="L108" s="48"/>
    </row>
    <row r="109" spans="1:12" x14ac:dyDescent="0.35">
      <c r="A109" s="2">
        <v>106</v>
      </c>
      <c r="B109" s="106" t="s">
        <v>40</v>
      </c>
      <c r="C109" s="106" t="s">
        <v>70</v>
      </c>
      <c r="D109" s="106" t="s">
        <v>39</v>
      </c>
      <c r="E109" s="107" t="s">
        <v>78</v>
      </c>
      <c r="F109" s="106" t="s">
        <v>44</v>
      </c>
      <c r="G109" s="107" t="str">
        <f t="shared" si="33"/>
        <v>NuevoCEGeneralConfiguracion EntornoBaja</v>
      </c>
      <c r="H109" s="106">
        <f t="shared" si="29"/>
        <v>0.25</v>
      </c>
      <c r="I109" s="106">
        <v>2</v>
      </c>
      <c r="J109" s="106"/>
      <c r="K109" s="106"/>
      <c r="L109" s="48"/>
    </row>
    <row r="110" spans="1:12" x14ac:dyDescent="0.35">
      <c r="A110" s="2">
        <v>107</v>
      </c>
      <c r="B110" s="106" t="s">
        <v>40</v>
      </c>
      <c r="C110" s="106" t="s">
        <v>70</v>
      </c>
      <c r="D110" s="106" t="s">
        <v>39</v>
      </c>
      <c r="E110" s="107" t="s">
        <v>78</v>
      </c>
      <c r="F110" s="106" t="s">
        <v>43</v>
      </c>
      <c r="G110" s="107" t="str">
        <f t="shared" si="33"/>
        <v>NuevoCEGeneralConfiguracion EntornoMedia</v>
      </c>
      <c r="H110" s="106">
        <f t="shared" si="29"/>
        <v>0.625</v>
      </c>
      <c r="I110" s="106">
        <v>5</v>
      </c>
      <c r="J110" s="106"/>
      <c r="K110" s="106"/>
      <c r="L110" s="48"/>
    </row>
    <row r="111" spans="1:12" x14ac:dyDescent="0.35">
      <c r="A111" s="2">
        <v>108</v>
      </c>
      <c r="B111" s="106" t="s">
        <v>40</v>
      </c>
      <c r="C111" s="106" t="s">
        <v>70</v>
      </c>
      <c r="D111" s="106" t="s">
        <v>39</v>
      </c>
      <c r="E111" s="107" t="s">
        <v>78</v>
      </c>
      <c r="F111" s="106" t="s">
        <v>42</v>
      </c>
      <c r="G111" s="107" t="str">
        <f t="shared" si="33"/>
        <v>NuevoCEGeneralConfiguracion EntornoAlta</v>
      </c>
      <c r="H111" s="106">
        <f t="shared" si="29"/>
        <v>1.25</v>
      </c>
      <c r="I111" s="106">
        <v>10</v>
      </c>
      <c r="J111" s="106"/>
      <c r="K111" s="106"/>
      <c r="L111" s="48"/>
    </row>
    <row r="112" spans="1:12" x14ac:dyDescent="0.35">
      <c r="A112" s="2">
        <v>109</v>
      </c>
      <c r="B112" s="104"/>
      <c r="C112" s="104"/>
      <c r="D112" s="104"/>
      <c r="E112" s="105"/>
      <c r="F112" s="104"/>
      <c r="G112" s="105" t="str">
        <f t="shared" si="33"/>
        <v/>
      </c>
      <c r="H112" s="104">
        <f t="shared" si="29"/>
        <v>0</v>
      </c>
      <c r="I112" s="104"/>
      <c r="J112" s="104"/>
      <c r="K112" s="104"/>
      <c r="L112" s="48"/>
    </row>
    <row r="113" spans="1:12" x14ac:dyDescent="0.35">
      <c r="A113" s="2">
        <v>110</v>
      </c>
      <c r="B113" s="104"/>
      <c r="C113" s="104"/>
      <c r="D113" s="104"/>
      <c r="E113" s="105"/>
      <c r="F113" s="104"/>
      <c r="G113" s="105" t="str">
        <f t="shared" si="33"/>
        <v/>
      </c>
      <c r="H113" s="104">
        <f t="shared" si="29"/>
        <v>0</v>
      </c>
      <c r="I113" s="104"/>
      <c r="J113" s="104"/>
      <c r="K113" s="104"/>
      <c r="L113" s="48"/>
    </row>
    <row r="114" spans="1:12" x14ac:dyDescent="0.35">
      <c r="A114" s="2">
        <v>111</v>
      </c>
      <c r="B114" s="104"/>
      <c r="C114" s="104"/>
      <c r="D114" s="104"/>
      <c r="E114" s="105"/>
      <c r="F114" s="104"/>
      <c r="G114" s="105" t="str">
        <f t="shared" si="33"/>
        <v/>
      </c>
      <c r="H114" s="104">
        <f t="shared" si="29"/>
        <v>0</v>
      </c>
      <c r="I114" s="104"/>
      <c r="J114" s="104"/>
      <c r="K114" s="104"/>
      <c r="L114" s="48"/>
    </row>
    <row r="115" spans="1:12" x14ac:dyDescent="0.35">
      <c r="A115" s="2">
        <v>112</v>
      </c>
      <c r="B115" s="106"/>
      <c r="C115" s="106"/>
      <c r="D115" s="106"/>
      <c r="E115" s="107"/>
      <c r="F115" s="106"/>
      <c r="G115" s="107" t="str">
        <f t="shared" si="33"/>
        <v/>
      </c>
      <c r="H115" s="106">
        <f t="shared" si="29"/>
        <v>0</v>
      </c>
      <c r="I115" s="106"/>
      <c r="J115" s="106"/>
      <c r="K115" s="106"/>
      <c r="L115" s="48"/>
    </row>
    <row r="116" spans="1:12" x14ac:dyDescent="0.35">
      <c r="A116" s="2">
        <v>113</v>
      </c>
      <c r="B116" s="106"/>
      <c r="C116" s="106"/>
      <c r="D116" s="106"/>
      <c r="E116" s="107"/>
      <c r="F116" s="106"/>
      <c r="G116" s="107" t="str">
        <f t="shared" si="33"/>
        <v/>
      </c>
      <c r="H116" s="106">
        <f t="shared" si="29"/>
        <v>0</v>
      </c>
      <c r="I116" s="106"/>
      <c r="J116" s="106"/>
      <c r="K116" s="106"/>
      <c r="L116" s="48"/>
    </row>
    <row r="117" spans="1:12" x14ac:dyDescent="0.35">
      <c r="A117" s="2">
        <v>114</v>
      </c>
      <c r="B117" s="106"/>
      <c r="C117" s="106"/>
      <c r="D117" s="106"/>
      <c r="E117" s="107"/>
      <c r="F117" s="106"/>
      <c r="G117" s="107" t="str">
        <f t="shared" si="33"/>
        <v/>
      </c>
      <c r="H117" s="106">
        <f t="shared" si="29"/>
        <v>0</v>
      </c>
      <c r="I117" s="106"/>
      <c r="J117" s="106"/>
      <c r="K117" s="106"/>
      <c r="L117" s="48"/>
    </row>
    <row r="118" spans="1:12" x14ac:dyDescent="0.35">
      <c r="A118" s="2">
        <v>115</v>
      </c>
      <c r="B118" s="104"/>
      <c r="C118" s="104"/>
      <c r="D118" s="104"/>
      <c r="E118" s="105"/>
      <c r="F118" s="104"/>
      <c r="G118" s="105" t="str">
        <f t="shared" si="33"/>
        <v/>
      </c>
      <c r="H118" s="104">
        <f t="shared" si="29"/>
        <v>0</v>
      </c>
      <c r="I118" s="104"/>
      <c r="J118" s="104"/>
      <c r="K118" s="104"/>
      <c r="L118" s="45"/>
    </row>
    <row r="119" spans="1:12" x14ac:dyDescent="0.35">
      <c r="A119" s="2">
        <v>116</v>
      </c>
      <c r="B119" s="104"/>
      <c r="C119" s="104"/>
      <c r="D119" s="104"/>
      <c r="E119" s="105"/>
      <c r="F119" s="104"/>
      <c r="G119" s="105" t="str">
        <f t="shared" si="33"/>
        <v/>
      </c>
      <c r="H119" s="104">
        <f t="shared" si="29"/>
        <v>0</v>
      </c>
      <c r="I119" s="104"/>
      <c r="J119" s="104"/>
      <c r="K119" s="104"/>
      <c r="L119" s="48"/>
    </row>
    <row r="120" spans="1:12" x14ac:dyDescent="0.35">
      <c r="A120" s="2">
        <v>117</v>
      </c>
      <c r="B120" s="104"/>
      <c r="C120" s="104"/>
      <c r="D120" s="104"/>
      <c r="E120" s="105"/>
      <c r="F120" s="104"/>
      <c r="G120" s="105" t="str">
        <f t="shared" si="33"/>
        <v/>
      </c>
      <c r="H120" s="104">
        <f t="shared" si="29"/>
        <v>0</v>
      </c>
      <c r="I120" s="104"/>
      <c r="J120" s="104"/>
      <c r="K120" s="104"/>
      <c r="L120" s="48"/>
    </row>
    <row r="121" spans="1:12" x14ac:dyDescent="0.35">
      <c r="A121" s="2">
        <v>118</v>
      </c>
      <c r="B121" s="106"/>
      <c r="C121" s="106"/>
      <c r="D121" s="106"/>
      <c r="E121" s="107"/>
      <c r="F121" s="106"/>
      <c r="G121" s="107" t="str">
        <f t="shared" si="33"/>
        <v/>
      </c>
      <c r="H121" s="106">
        <f t="shared" si="29"/>
        <v>0</v>
      </c>
      <c r="I121" s="106"/>
      <c r="J121" s="106"/>
      <c r="K121" s="106"/>
      <c r="L121" s="48"/>
    </row>
    <row r="122" spans="1:12" x14ac:dyDescent="0.35">
      <c r="A122" s="2">
        <v>119</v>
      </c>
      <c r="B122" s="106"/>
      <c r="C122" s="106"/>
      <c r="D122" s="106"/>
      <c r="E122" s="107"/>
      <c r="F122" s="106"/>
      <c r="G122" s="107" t="str">
        <f t="shared" si="33"/>
        <v/>
      </c>
      <c r="H122" s="106">
        <f t="shared" si="29"/>
        <v>0</v>
      </c>
      <c r="I122" s="106"/>
      <c r="J122" s="106"/>
      <c r="K122" s="106"/>
      <c r="L122" s="45"/>
    </row>
    <row r="123" spans="1:12" x14ac:dyDescent="0.35">
      <c r="A123" s="2">
        <v>120</v>
      </c>
      <c r="B123" s="106"/>
      <c r="C123" s="106"/>
      <c r="D123" s="106"/>
      <c r="E123" s="107"/>
      <c r="F123" s="106"/>
      <c r="G123" s="107" t="str">
        <f t="shared" si="33"/>
        <v/>
      </c>
      <c r="H123" s="106">
        <f t="shared" si="29"/>
        <v>0</v>
      </c>
      <c r="I123" s="106"/>
      <c r="J123" s="106"/>
      <c r="K123" s="106"/>
      <c r="L123" s="48"/>
    </row>
    <row r="124" spans="1:12" x14ac:dyDescent="0.35">
      <c r="A124" s="2">
        <v>121</v>
      </c>
      <c r="B124" s="92"/>
      <c r="C124" s="92"/>
      <c r="D124" s="92"/>
      <c r="E124" s="85"/>
      <c r="F124" s="92"/>
      <c r="G124" s="85" t="str">
        <f t="shared" si="33"/>
        <v/>
      </c>
      <c r="H124" s="109">
        <f t="shared" si="29"/>
        <v>0</v>
      </c>
      <c r="I124" s="92"/>
      <c r="J124" s="92"/>
      <c r="K124" s="92"/>
      <c r="L124" s="48"/>
    </row>
    <row r="125" spans="1:12" x14ac:dyDescent="0.35">
      <c r="A125" s="2">
        <v>122</v>
      </c>
      <c r="B125" s="92"/>
      <c r="C125" s="92"/>
      <c r="D125" s="92"/>
      <c r="E125" s="85"/>
      <c r="F125" s="92"/>
      <c r="G125" s="85" t="str">
        <f t="shared" si="33"/>
        <v/>
      </c>
      <c r="H125" s="109">
        <f t="shared" si="29"/>
        <v>0</v>
      </c>
      <c r="I125" s="92"/>
      <c r="J125" s="92"/>
      <c r="K125" s="92"/>
      <c r="L125" s="48"/>
    </row>
    <row r="126" spans="1:12" x14ac:dyDescent="0.35">
      <c r="A126" s="2">
        <v>123</v>
      </c>
      <c r="B126" s="92"/>
      <c r="C126" s="92"/>
      <c r="D126" s="92"/>
      <c r="E126" s="85"/>
      <c r="F126" s="92"/>
      <c r="G126" s="85" t="str">
        <f t="shared" si="33"/>
        <v/>
      </c>
      <c r="H126" s="109">
        <f t="shared" si="29"/>
        <v>0</v>
      </c>
      <c r="I126" s="92"/>
      <c r="J126" s="92"/>
      <c r="K126" s="92"/>
      <c r="L126" s="45"/>
    </row>
    <row r="127" spans="1:12" x14ac:dyDescent="0.35">
      <c r="A127" s="2">
        <v>124</v>
      </c>
      <c r="B127" s="92"/>
      <c r="C127" s="92"/>
      <c r="D127" s="92"/>
      <c r="E127" s="85"/>
      <c r="F127" s="92"/>
      <c r="G127" s="85" t="str">
        <f t="shared" si="33"/>
        <v/>
      </c>
      <c r="H127" s="109">
        <f t="shared" si="29"/>
        <v>0</v>
      </c>
      <c r="I127" s="92"/>
      <c r="J127" s="92"/>
      <c r="K127" s="92"/>
      <c r="L127" s="45"/>
    </row>
    <row r="128" spans="1:12" x14ac:dyDescent="0.35">
      <c r="A128" s="2">
        <v>125</v>
      </c>
      <c r="B128" s="92"/>
      <c r="C128" s="92"/>
      <c r="D128" s="92"/>
      <c r="E128" s="85"/>
      <c r="F128" s="92"/>
      <c r="G128" s="85" t="str">
        <f t="shared" si="33"/>
        <v/>
      </c>
      <c r="H128" s="109">
        <f t="shared" si="29"/>
        <v>0</v>
      </c>
      <c r="I128" s="92"/>
      <c r="J128" s="92"/>
      <c r="K128" s="92"/>
      <c r="L128" s="45"/>
    </row>
    <row r="129" spans="1:12" x14ac:dyDescent="0.35">
      <c r="A129" s="2">
        <v>126</v>
      </c>
      <c r="B129" s="92"/>
      <c r="C129" s="92"/>
      <c r="D129" s="92"/>
      <c r="E129" s="85"/>
      <c r="F129" s="92"/>
      <c r="G129" s="85" t="str">
        <f t="shared" si="33"/>
        <v/>
      </c>
      <c r="H129" s="109">
        <f t="shared" si="29"/>
        <v>0</v>
      </c>
      <c r="I129" s="92"/>
      <c r="J129" s="92"/>
      <c r="K129" s="92"/>
      <c r="L129" s="45"/>
    </row>
    <row r="130" spans="1:12" x14ac:dyDescent="0.35">
      <c r="A130" s="2">
        <v>127</v>
      </c>
      <c r="B130" s="92"/>
      <c r="C130" s="92"/>
      <c r="D130" s="92"/>
      <c r="E130" s="85"/>
      <c r="F130" s="92"/>
      <c r="G130" s="85" t="str">
        <f t="shared" si="33"/>
        <v/>
      </c>
      <c r="H130" s="109">
        <f t="shared" si="29"/>
        <v>0</v>
      </c>
      <c r="I130" s="92"/>
      <c r="J130" s="92"/>
      <c r="K130" s="92"/>
      <c r="L130" s="45"/>
    </row>
    <row r="131" spans="1:12" x14ac:dyDescent="0.35">
      <c r="A131" s="2">
        <v>128</v>
      </c>
      <c r="B131" s="92"/>
      <c r="C131" s="92"/>
      <c r="D131" s="92"/>
      <c r="E131" s="85"/>
      <c r="F131" s="92"/>
      <c r="G131" s="85" t="str">
        <f t="shared" si="33"/>
        <v/>
      </c>
      <c r="H131" s="109">
        <f t="shared" si="29"/>
        <v>0</v>
      </c>
      <c r="I131" s="92"/>
      <c r="J131" s="92"/>
      <c r="K131" s="92"/>
      <c r="L131" s="45"/>
    </row>
    <row r="132" spans="1:12" x14ac:dyDescent="0.35">
      <c r="A132" s="2">
        <v>129</v>
      </c>
      <c r="B132" s="92"/>
      <c r="C132" s="92"/>
      <c r="D132" s="92"/>
      <c r="E132" s="85"/>
      <c r="F132" s="92"/>
      <c r="G132" s="85" t="str">
        <f t="shared" si="33"/>
        <v/>
      </c>
      <c r="H132" s="109">
        <f t="shared" si="29"/>
        <v>0</v>
      </c>
      <c r="I132" s="92"/>
      <c r="J132" s="92"/>
      <c r="K132" s="92"/>
      <c r="L132" s="45"/>
    </row>
    <row r="133" spans="1:12" x14ac:dyDescent="0.35">
      <c r="A133" s="2">
        <v>130</v>
      </c>
      <c r="B133" s="92"/>
      <c r="C133" s="92"/>
      <c r="D133" s="92"/>
      <c r="E133" s="85"/>
      <c r="F133" s="92"/>
      <c r="G133" s="85" t="str">
        <f t="shared" si="33"/>
        <v/>
      </c>
      <c r="H133" s="109">
        <f t="shared" si="29"/>
        <v>0</v>
      </c>
      <c r="I133" s="92"/>
      <c r="J133" s="92"/>
      <c r="K133" s="92"/>
      <c r="L133" s="48"/>
    </row>
    <row r="134" spans="1:12" x14ac:dyDescent="0.35">
      <c r="A134" s="2">
        <v>131</v>
      </c>
      <c r="B134" s="92"/>
      <c r="C134" s="92"/>
      <c r="D134" s="92"/>
      <c r="E134" s="85"/>
      <c r="F134" s="92"/>
      <c r="G134" s="85" t="str">
        <f t="shared" si="33"/>
        <v/>
      </c>
      <c r="H134" s="109">
        <f t="shared" ref="H134:H197" si="34">I134/8</f>
        <v>0</v>
      </c>
      <c r="I134" s="92"/>
      <c r="J134" s="92"/>
      <c r="K134" s="92"/>
      <c r="L134" s="48"/>
    </row>
    <row r="135" spans="1:12" x14ac:dyDescent="0.35">
      <c r="A135" s="2">
        <v>132</v>
      </c>
      <c r="B135" s="92"/>
      <c r="C135" s="92"/>
      <c r="D135" s="92"/>
      <c r="E135" s="85"/>
      <c r="F135" s="92"/>
      <c r="G135" s="85" t="str">
        <f t="shared" si="33"/>
        <v/>
      </c>
      <c r="H135" s="109">
        <f t="shared" si="34"/>
        <v>0</v>
      </c>
      <c r="I135" s="92"/>
      <c r="J135" s="92"/>
      <c r="K135" s="92"/>
      <c r="L135" s="48"/>
    </row>
    <row r="136" spans="1:12" x14ac:dyDescent="0.35">
      <c r="A136" s="2">
        <v>133</v>
      </c>
      <c r="B136" s="92"/>
      <c r="C136" s="92"/>
      <c r="D136" s="92"/>
      <c r="E136" s="85"/>
      <c r="F136" s="92"/>
      <c r="G136" s="85" t="str">
        <f t="shared" si="33"/>
        <v/>
      </c>
      <c r="H136" s="109">
        <f t="shared" si="34"/>
        <v>0</v>
      </c>
      <c r="I136" s="92"/>
      <c r="J136" s="92"/>
      <c r="K136" s="92"/>
      <c r="L136" s="45"/>
    </row>
    <row r="137" spans="1:12" x14ac:dyDescent="0.35">
      <c r="A137" s="2">
        <v>134</v>
      </c>
      <c r="B137" s="92"/>
      <c r="C137" s="92"/>
      <c r="D137" s="92"/>
      <c r="E137" s="85"/>
      <c r="F137" s="92"/>
      <c r="G137" s="85" t="str">
        <f t="shared" si="33"/>
        <v/>
      </c>
      <c r="H137" s="109">
        <f t="shared" si="34"/>
        <v>0</v>
      </c>
      <c r="I137" s="92"/>
      <c r="J137" s="92"/>
      <c r="K137" s="92"/>
      <c r="L137" s="48"/>
    </row>
    <row r="138" spans="1:12" x14ac:dyDescent="0.35">
      <c r="A138" s="2">
        <v>135</v>
      </c>
      <c r="B138" s="92"/>
      <c r="C138" s="92"/>
      <c r="D138" s="92"/>
      <c r="E138" s="85"/>
      <c r="F138" s="92"/>
      <c r="G138" s="85" t="str">
        <f t="shared" si="33"/>
        <v/>
      </c>
      <c r="H138" s="109">
        <f t="shared" si="34"/>
        <v>0</v>
      </c>
      <c r="I138" s="92"/>
      <c r="J138" s="92"/>
      <c r="K138" s="92"/>
      <c r="L138" s="48"/>
    </row>
    <row r="139" spans="1:12" x14ac:dyDescent="0.35">
      <c r="A139" s="2">
        <v>136</v>
      </c>
      <c r="B139" s="92"/>
      <c r="C139" s="92"/>
      <c r="D139" s="92"/>
      <c r="E139" s="85"/>
      <c r="F139" s="92"/>
      <c r="G139" s="85" t="str">
        <f t="shared" si="33"/>
        <v/>
      </c>
      <c r="H139" s="109">
        <f t="shared" si="34"/>
        <v>0</v>
      </c>
      <c r="I139" s="92"/>
      <c r="J139" s="92"/>
      <c r="K139" s="92"/>
      <c r="L139" s="48"/>
    </row>
    <row r="140" spans="1:12" x14ac:dyDescent="0.35">
      <c r="A140" s="2">
        <v>137</v>
      </c>
      <c r="B140" s="92"/>
      <c r="C140" s="92"/>
      <c r="D140" s="92"/>
      <c r="E140" s="85"/>
      <c r="F140" s="92"/>
      <c r="G140" s="85" t="str">
        <f t="shared" si="33"/>
        <v/>
      </c>
      <c r="H140" s="109">
        <f t="shared" si="34"/>
        <v>0</v>
      </c>
      <c r="I140" s="92"/>
      <c r="J140" s="92"/>
      <c r="K140" s="92"/>
      <c r="L140" s="45"/>
    </row>
    <row r="141" spans="1:12" x14ac:dyDescent="0.35">
      <c r="A141" s="2">
        <v>138</v>
      </c>
      <c r="B141" s="92"/>
      <c r="C141" s="92"/>
      <c r="D141" s="92"/>
      <c r="E141" s="85"/>
      <c r="F141" s="92"/>
      <c r="G141" s="85" t="str">
        <f t="shared" si="33"/>
        <v/>
      </c>
      <c r="H141" s="109">
        <f t="shared" si="34"/>
        <v>0</v>
      </c>
      <c r="I141" s="92"/>
      <c r="J141" s="92"/>
      <c r="K141" s="92"/>
      <c r="L141" s="48"/>
    </row>
    <row r="142" spans="1:12" x14ac:dyDescent="0.35">
      <c r="A142" s="2">
        <v>139</v>
      </c>
      <c r="B142" s="92"/>
      <c r="C142" s="92"/>
      <c r="D142" s="92"/>
      <c r="E142" s="85"/>
      <c r="F142" s="92"/>
      <c r="G142" s="85" t="str">
        <f t="shared" si="33"/>
        <v/>
      </c>
      <c r="H142" s="109">
        <f t="shared" si="34"/>
        <v>0</v>
      </c>
      <c r="I142" s="92"/>
      <c r="J142" s="92"/>
      <c r="K142" s="92"/>
      <c r="L142" s="48"/>
    </row>
    <row r="143" spans="1:12" x14ac:dyDescent="0.35">
      <c r="A143" s="2">
        <v>140</v>
      </c>
      <c r="B143" s="92"/>
      <c r="C143" s="92"/>
      <c r="D143" s="92"/>
      <c r="E143" s="85"/>
      <c r="F143" s="92"/>
      <c r="G143" s="85" t="str">
        <f t="shared" si="33"/>
        <v/>
      </c>
      <c r="H143" s="109">
        <f t="shared" si="34"/>
        <v>0</v>
      </c>
      <c r="I143" s="92"/>
      <c r="J143" s="92"/>
      <c r="K143" s="92"/>
      <c r="L143" s="48"/>
    </row>
    <row r="144" spans="1:12" x14ac:dyDescent="0.35">
      <c r="A144" s="2">
        <v>141</v>
      </c>
      <c r="B144" s="92"/>
      <c r="C144" s="92"/>
      <c r="D144" s="92"/>
      <c r="E144" s="85"/>
      <c r="F144" s="92"/>
      <c r="G144" s="85" t="str">
        <f t="shared" si="33"/>
        <v/>
      </c>
      <c r="H144" s="109">
        <f t="shared" si="34"/>
        <v>0</v>
      </c>
      <c r="I144" s="92"/>
      <c r="J144" s="92"/>
      <c r="K144" s="92"/>
      <c r="L144" s="48"/>
    </row>
    <row r="145" spans="1:12" x14ac:dyDescent="0.35">
      <c r="A145" s="2">
        <v>142</v>
      </c>
      <c r="B145" s="92"/>
      <c r="C145" s="92"/>
      <c r="D145" s="92"/>
      <c r="E145" s="85"/>
      <c r="F145" s="92"/>
      <c r="G145" s="85" t="str">
        <f t="shared" si="33"/>
        <v/>
      </c>
      <c r="H145" s="109">
        <f t="shared" si="34"/>
        <v>0</v>
      </c>
      <c r="I145" s="92"/>
      <c r="J145" s="92"/>
      <c r="K145" s="92"/>
      <c r="L145" s="48"/>
    </row>
    <row r="146" spans="1:12" x14ac:dyDescent="0.35">
      <c r="A146" s="2">
        <v>143</v>
      </c>
      <c r="B146" s="92"/>
      <c r="C146" s="92"/>
      <c r="D146" s="92"/>
      <c r="E146" s="85"/>
      <c r="F146" s="92"/>
      <c r="G146" s="85" t="str">
        <f t="shared" si="33"/>
        <v/>
      </c>
      <c r="H146" s="109">
        <f t="shared" si="34"/>
        <v>0</v>
      </c>
      <c r="I146" s="92"/>
      <c r="J146" s="92"/>
      <c r="K146" s="92"/>
      <c r="L146" s="48"/>
    </row>
    <row r="147" spans="1:12" x14ac:dyDescent="0.35">
      <c r="A147" s="2">
        <v>144</v>
      </c>
      <c r="B147" s="92"/>
      <c r="C147" s="92"/>
      <c r="D147" s="92"/>
      <c r="E147" s="85"/>
      <c r="F147" s="92"/>
      <c r="G147" s="85" t="str">
        <f t="shared" si="33"/>
        <v/>
      </c>
      <c r="H147" s="109">
        <f t="shared" si="34"/>
        <v>0</v>
      </c>
      <c r="I147" s="92"/>
      <c r="J147" s="92"/>
      <c r="K147" s="92"/>
      <c r="L147" s="48"/>
    </row>
    <row r="148" spans="1:12" x14ac:dyDescent="0.35">
      <c r="A148" s="2">
        <v>145</v>
      </c>
      <c r="B148" s="92"/>
      <c r="C148" s="92"/>
      <c r="D148" s="92"/>
      <c r="E148" s="85"/>
      <c r="F148" s="92"/>
      <c r="G148" s="85" t="str">
        <f t="shared" si="33"/>
        <v/>
      </c>
      <c r="H148" s="109">
        <f t="shared" si="34"/>
        <v>0</v>
      </c>
      <c r="I148" s="92"/>
      <c r="J148" s="92"/>
      <c r="K148" s="92"/>
      <c r="L148" s="48"/>
    </row>
    <row r="149" spans="1:12" x14ac:dyDescent="0.35">
      <c r="A149" s="2">
        <v>146</v>
      </c>
      <c r="B149" s="92"/>
      <c r="C149" s="92"/>
      <c r="D149" s="92"/>
      <c r="E149" s="85"/>
      <c r="F149" s="92"/>
      <c r="G149" s="85" t="str">
        <f t="shared" si="33"/>
        <v/>
      </c>
      <c r="H149" s="109">
        <f t="shared" si="34"/>
        <v>0</v>
      </c>
      <c r="I149" s="92"/>
      <c r="J149" s="92"/>
      <c r="K149" s="92"/>
      <c r="L149" s="48"/>
    </row>
    <row r="150" spans="1:12" x14ac:dyDescent="0.35">
      <c r="A150" s="2">
        <v>147</v>
      </c>
      <c r="B150" s="92"/>
      <c r="C150" s="92"/>
      <c r="D150" s="92"/>
      <c r="E150" s="85"/>
      <c r="F150" s="92"/>
      <c r="G150" s="85" t="str">
        <f t="shared" si="33"/>
        <v/>
      </c>
      <c r="H150" s="109">
        <f t="shared" si="34"/>
        <v>0</v>
      </c>
      <c r="I150" s="92"/>
      <c r="J150" s="92"/>
      <c r="K150" s="92"/>
      <c r="L150" s="48"/>
    </row>
    <row r="151" spans="1:12" x14ac:dyDescent="0.35">
      <c r="A151" s="2">
        <v>148</v>
      </c>
      <c r="B151" s="92"/>
      <c r="C151" s="92"/>
      <c r="D151" s="92"/>
      <c r="E151" s="85"/>
      <c r="F151" s="92"/>
      <c r="G151" s="85" t="str">
        <f t="shared" si="33"/>
        <v/>
      </c>
      <c r="H151" s="109">
        <f t="shared" si="34"/>
        <v>0</v>
      </c>
      <c r="I151" s="92"/>
      <c r="J151" s="92"/>
      <c r="K151" s="92"/>
      <c r="L151" s="48"/>
    </row>
    <row r="152" spans="1:12" x14ac:dyDescent="0.35">
      <c r="A152" s="2">
        <v>149</v>
      </c>
      <c r="B152" s="92"/>
      <c r="C152" s="92"/>
      <c r="D152" s="92"/>
      <c r="E152" s="85"/>
      <c r="F152" s="92"/>
      <c r="G152" s="85" t="str">
        <f t="shared" si="33"/>
        <v/>
      </c>
      <c r="H152" s="109">
        <f t="shared" si="34"/>
        <v>0</v>
      </c>
      <c r="I152" s="92"/>
      <c r="J152" s="92"/>
      <c r="K152" s="92"/>
      <c r="L152" s="48"/>
    </row>
    <row r="153" spans="1:12" x14ac:dyDescent="0.35">
      <c r="A153" s="2">
        <v>150</v>
      </c>
      <c r="B153" s="92"/>
      <c r="C153" s="92"/>
      <c r="D153" s="92"/>
      <c r="E153" s="85"/>
      <c r="F153" s="92"/>
      <c r="G153" s="85" t="str">
        <f t="shared" si="33"/>
        <v/>
      </c>
      <c r="H153" s="109">
        <f t="shared" si="34"/>
        <v>0</v>
      </c>
      <c r="I153" s="92"/>
      <c r="J153" s="92"/>
      <c r="K153" s="92"/>
      <c r="L153" s="48"/>
    </row>
    <row r="154" spans="1:12" x14ac:dyDescent="0.35">
      <c r="A154" s="2">
        <v>151</v>
      </c>
      <c r="B154" s="92"/>
      <c r="C154" s="92"/>
      <c r="D154" s="92"/>
      <c r="E154" s="85"/>
      <c r="F154" s="92"/>
      <c r="G154" s="85" t="str">
        <f t="shared" si="33"/>
        <v/>
      </c>
      <c r="H154" s="109">
        <f t="shared" si="34"/>
        <v>0</v>
      </c>
      <c r="I154" s="92"/>
      <c r="J154" s="92"/>
      <c r="K154" s="92"/>
      <c r="L154" s="48"/>
    </row>
    <row r="155" spans="1:12" x14ac:dyDescent="0.35">
      <c r="A155" s="2">
        <v>152</v>
      </c>
      <c r="B155" s="92"/>
      <c r="C155" s="92"/>
      <c r="D155" s="92"/>
      <c r="E155" s="85"/>
      <c r="F155" s="92"/>
      <c r="G155" s="85" t="str">
        <f t="shared" si="33"/>
        <v/>
      </c>
      <c r="H155" s="109">
        <f t="shared" si="34"/>
        <v>0</v>
      </c>
      <c r="I155" s="92"/>
      <c r="J155" s="92"/>
      <c r="K155" s="92"/>
      <c r="L155" s="48"/>
    </row>
    <row r="156" spans="1:12" x14ac:dyDescent="0.35">
      <c r="A156" s="2">
        <v>153</v>
      </c>
      <c r="B156" s="92"/>
      <c r="C156" s="92"/>
      <c r="D156" s="92"/>
      <c r="E156" s="85"/>
      <c r="F156" s="92"/>
      <c r="G156" s="85" t="str">
        <f t="shared" si="33"/>
        <v/>
      </c>
      <c r="H156" s="109">
        <f t="shared" si="34"/>
        <v>0</v>
      </c>
      <c r="I156" s="92"/>
      <c r="J156" s="92"/>
      <c r="K156" s="92"/>
      <c r="L156" s="48"/>
    </row>
    <row r="157" spans="1:12" x14ac:dyDescent="0.35">
      <c r="A157" s="2">
        <v>154</v>
      </c>
      <c r="B157" s="92"/>
      <c r="C157" s="92"/>
      <c r="D157" s="92"/>
      <c r="E157" s="85"/>
      <c r="F157" s="92"/>
      <c r="G157" s="85" t="str">
        <f t="shared" si="33"/>
        <v/>
      </c>
      <c r="H157" s="109">
        <f t="shared" si="34"/>
        <v>0</v>
      </c>
      <c r="I157" s="92"/>
      <c r="J157" s="92"/>
      <c r="K157" s="92"/>
      <c r="L157" s="48"/>
    </row>
    <row r="158" spans="1:12" x14ac:dyDescent="0.35">
      <c r="A158" s="2">
        <v>155</v>
      </c>
      <c r="B158" s="92"/>
      <c r="C158" s="92"/>
      <c r="D158" s="92"/>
      <c r="E158" s="85"/>
      <c r="F158" s="92"/>
      <c r="G158" s="85" t="str">
        <f t="shared" si="33"/>
        <v/>
      </c>
      <c r="H158" s="109">
        <f t="shared" si="34"/>
        <v>0</v>
      </c>
      <c r="I158" s="92"/>
      <c r="J158" s="92"/>
      <c r="K158" s="92"/>
      <c r="L158" s="48"/>
    </row>
    <row r="159" spans="1:12" x14ac:dyDescent="0.35">
      <c r="A159" s="2">
        <v>156</v>
      </c>
      <c r="B159" s="92"/>
      <c r="C159" s="92"/>
      <c r="D159" s="92"/>
      <c r="E159" s="85"/>
      <c r="F159" s="92"/>
      <c r="G159" s="85" t="str">
        <f t="shared" si="33"/>
        <v/>
      </c>
      <c r="H159" s="109">
        <f t="shared" si="34"/>
        <v>0</v>
      </c>
      <c r="I159" s="92"/>
      <c r="J159" s="92"/>
      <c r="K159" s="92"/>
      <c r="L159" s="48"/>
    </row>
    <row r="160" spans="1:12" x14ac:dyDescent="0.35">
      <c r="A160" s="2">
        <v>157</v>
      </c>
      <c r="B160" s="92"/>
      <c r="C160" s="92"/>
      <c r="D160" s="92"/>
      <c r="E160" s="85"/>
      <c r="F160" s="92"/>
      <c r="G160" s="85" t="str">
        <f t="shared" si="33"/>
        <v/>
      </c>
      <c r="H160" s="109">
        <f t="shared" si="34"/>
        <v>0</v>
      </c>
      <c r="I160" s="92"/>
      <c r="J160" s="92"/>
      <c r="K160" s="92"/>
      <c r="L160" s="48"/>
    </row>
    <row r="161" spans="1:12" x14ac:dyDescent="0.35">
      <c r="A161" s="2">
        <v>158</v>
      </c>
      <c r="B161" s="92"/>
      <c r="C161" s="92"/>
      <c r="D161" s="92"/>
      <c r="E161" s="85"/>
      <c r="F161" s="92"/>
      <c r="G161" s="85" t="str">
        <f t="shared" ref="G161:G224" si="35">CONCATENATE(B161,C161,D161,E161,F161)</f>
        <v/>
      </c>
      <c r="H161" s="109">
        <f t="shared" si="34"/>
        <v>0</v>
      </c>
      <c r="I161" s="92"/>
      <c r="J161" s="92"/>
      <c r="K161" s="92"/>
      <c r="L161" s="48"/>
    </row>
    <row r="162" spans="1:12" x14ac:dyDescent="0.35">
      <c r="A162" s="2">
        <v>159</v>
      </c>
      <c r="B162" s="92"/>
      <c r="C162" s="92"/>
      <c r="D162" s="92"/>
      <c r="E162" s="85"/>
      <c r="F162" s="92"/>
      <c r="G162" s="85" t="str">
        <f t="shared" si="35"/>
        <v/>
      </c>
      <c r="H162" s="109">
        <f t="shared" si="34"/>
        <v>0</v>
      </c>
      <c r="I162" s="92"/>
      <c r="J162" s="92"/>
      <c r="K162" s="92"/>
      <c r="L162" s="48"/>
    </row>
    <row r="163" spans="1:12" x14ac:dyDescent="0.35">
      <c r="A163" s="2">
        <v>160</v>
      </c>
      <c r="B163" s="92"/>
      <c r="C163" s="92"/>
      <c r="D163" s="92"/>
      <c r="E163" s="85"/>
      <c r="F163" s="92"/>
      <c r="G163" s="85" t="str">
        <f t="shared" si="35"/>
        <v/>
      </c>
      <c r="H163" s="109">
        <f t="shared" si="34"/>
        <v>0</v>
      </c>
      <c r="I163" s="92"/>
      <c r="J163" s="92"/>
      <c r="K163" s="92"/>
      <c r="L163" s="48"/>
    </row>
    <row r="164" spans="1:12" x14ac:dyDescent="0.35">
      <c r="A164" s="2">
        <v>161</v>
      </c>
      <c r="B164" s="92"/>
      <c r="C164" s="92"/>
      <c r="D164" s="92"/>
      <c r="E164" s="85"/>
      <c r="F164" s="92"/>
      <c r="G164" s="85" t="str">
        <f t="shared" si="35"/>
        <v/>
      </c>
      <c r="H164" s="109">
        <f t="shared" si="34"/>
        <v>0</v>
      </c>
      <c r="I164" s="92"/>
      <c r="J164" s="92"/>
      <c r="K164" s="92"/>
      <c r="L164" s="48"/>
    </row>
    <row r="165" spans="1:12" x14ac:dyDescent="0.35">
      <c r="A165" s="2">
        <v>162</v>
      </c>
      <c r="B165" s="92"/>
      <c r="C165" s="92"/>
      <c r="D165" s="92"/>
      <c r="E165" s="85"/>
      <c r="F165" s="92"/>
      <c r="G165" s="85" t="str">
        <f t="shared" si="35"/>
        <v/>
      </c>
      <c r="H165" s="109">
        <f t="shared" si="34"/>
        <v>0</v>
      </c>
      <c r="I165" s="92"/>
      <c r="J165" s="92"/>
      <c r="K165" s="92"/>
      <c r="L165" s="48"/>
    </row>
    <row r="166" spans="1:12" x14ac:dyDescent="0.35">
      <c r="A166" s="2">
        <v>163</v>
      </c>
      <c r="B166" s="92"/>
      <c r="C166" s="92"/>
      <c r="D166" s="92"/>
      <c r="E166" s="85"/>
      <c r="F166" s="92"/>
      <c r="G166" s="85" t="str">
        <f t="shared" si="35"/>
        <v/>
      </c>
      <c r="H166" s="109">
        <f t="shared" si="34"/>
        <v>0</v>
      </c>
      <c r="I166" s="92"/>
      <c r="J166" s="92"/>
      <c r="K166" s="92"/>
      <c r="L166" s="48"/>
    </row>
    <row r="167" spans="1:12" x14ac:dyDescent="0.35">
      <c r="A167" s="2">
        <v>164</v>
      </c>
      <c r="B167" s="92"/>
      <c r="C167" s="92"/>
      <c r="D167" s="92"/>
      <c r="E167" s="85"/>
      <c r="F167" s="92"/>
      <c r="G167" s="85" t="str">
        <f t="shared" si="35"/>
        <v/>
      </c>
      <c r="H167" s="109">
        <f t="shared" si="34"/>
        <v>0</v>
      </c>
      <c r="I167" s="92"/>
      <c r="J167" s="92"/>
      <c r="K167" s="92"/>
      <c r="L167" s="48"/>
    </row>
    <row r="168" spans="1:12" x14ac:dyDescent="0.35">
      <c r="A168" s="2">
        <v>165</v>
      </c>
      <c r="B168" s="92"/>
      <c r="C168" s="92"/>
      <c r="D168" s="92"/>
      <c r="E168" s="85"/>
      <c r="F168" s="92"/>
      <c r="G168" s="85" t="str">
        <f t="shared" si="35"/>
        <v/>
      </c>
      <c r="H168" s="109">
        <f t="shared" si="34"/>
        <v>0</v>
      </c>
      <c r="I168" s="92"/>
      <c r="J168" s="92"/>
      <c r="K168" s="92"/>
      <c r="L168" s="48"/>
    </row>
    <row r="169" spans="1:12" x14ac:dyDescent="0.35">
      <c r="A169" s="2">
        <v>166</v>
      </c>
      <c r="B169" s="92"/>
      <c r="C169" s="92"/>
      <c r="D169" s="92"/>
      <c r="E169" s="85"/>
      <c r="F169" s="92"/>
      <c r="G169" s="85" t="str">
        <f t="shared" si="35"/>
        <v/>
      </c>
      <c r="H169" s="109">
        <f t="shared" si="34"/>
        <v>0</v>
      </c>
      <c r="I169" s="92"/>
      <c r="J169" s="92"/>
      <c r="K169" s="92"/>
      <c r="L169" s="48"/>
    </row>
    <row r="170" spans="1:12" x14ac:dyDescent="0.35">
      <c r="A170" s="2">
        <v>167</v>
      </c>
      <c r="B170" s="92"/>
      <c r="C170" s="92"/>
      <c r="D170" s="92"/>
      <c r="E170" s="85"/>
      <c r="F170" s="92"/>
      <c r="G170" s="85" t="str">
        <f t="shared" si="35"/>
        <v/>
      </c>
      <c r="H170" s="109">
        <f t="shared" si="34"/>
        <v>0</v>
      </c>
      <c r="I170" s="92"/>
      <c r="J170" s="92"/>
      <c r="K170" s="92"/>
      <c r="L170" s="48"/>
    </row>
    <row r="171" spans="1:12" x14ac:dyDescent="0.35">
      <c r="A171" s="2">
        <v>168</v>
      </c>
      <c r="B171" s="92"/>
      <c r="C171" s="92"/>
      <c r="D171" s="92"/>
      <c r="E171" s="85"/>
      <c r="F171" s="92"/>
      <c r="G171" s="85" t="str">
        <f t="shared" si="35"/>
        <v/>
      </c>
      <c r="H171" s="109">
        <f t="shared" si="34"/>
        <v>0</v>
      </c>
      <c r="I171" s="92"/>
      <c r="J171" s="92"/>
      <c r="K171" s="92"/>
      <c r="L171" s="48"/>
    </row>
    <row r="172" spans="1:12" x14ac:dyDescent="0.35">
      <c r="A172" s="2">
        <v>169</v>
      </c>
      <c r="B172" s="92"/>
      <c r="C172" s="92"/>
      <c r="D172" s="92"/>
      <c r="E172" s="85"/>
      <c r="F172" s="92"/>
      <c r="G172" s="85" t="str">
        <f t="shared" si="35"/>
        <v/>
      </c>
      <c r="H172" s="109">
        <f t="shared" si="34"/>
        <v>0</v>
      </c>
      <c r="I172" s="92"/>
      <c r="J172" s="92"/>
      <c r="K172" s="92"/>
      <c r="L172" s="48"/>
    </row>
    <row r="173" spans="1:12" x14ac:dyDescent="0.35">
      <c r="A173" s="2">
        <v>170</v>
      </c>
      <c r="B173" s="92"/>
      <c r="C173" s="92"/>
      <c r="D173" s="92"/>
      <c r="E173" s="85"/>
      <c r="F173" s="92"/>
      <c r="G173" s="85" t="str">
        <f t="shared" si="35"/>
        <v/>
      </c>
      <c r="H173" s="109">
        <f t="shared" si="34"/>
        <v>0</v>
      </c>
      <c r="I173" s="92"/>
      <c r="J173" s="92"/>
      <c r="K173" s="92"/>
      <c r="L173" s="48"/>
    </row>
    <row r="174" spans="1:12" x14ac:dyDescent="0.35">
      <c r="A174" s="2">
        <v>171</v>
      </c>
      <c r="B174" s="92"/>
      <c r="C174" s="92"/>
      <c r="D174" s="92"/>
      <c r="E174" s="85"/>
      <c r="F174" s="92"/>
      <c r="G174" s="85" t="str">
        <f t="shared" si="35"/>
        <v/>
      </c>
      <c r="H174" s="109">
        <f t="shared" si="34"/>
        <v>0</v>
      </c>
      <c r="I174" s="92"/>
      <c r="J174" s="92"/>
      <c r="K174" s="92"/>
      <c r="L174" s="48"/>
    </row>
    <row r="175" spans="1:12" x14ac:dyDescent="0.35">
      <c r="A175" s="2">
        <v>172</v>
      </c>
      <c r="B175" s="92"/>
      <c r="C175" s="92"/>
      <c r="D175" s="92"/>
      <c r="E175" s="85"/>
      <c r="F175" s="92"/>
      <c r="G175" s="85" t="str">
        <f t="shared" si="35"/>
        <v/>
      </c>
      <c r="H175" s="109">
        <f t="shared" si="34"/>
        <v>0</v>
      </c>
      <c r="I175" s="92"/>
      <c r="J175" s="92"/>
      <c r="K175" s="92"/>
      <c r="L175" s="48"/>
    </row>
    <row r="176" spans="1:12" x14ac:dyDescent="0.35">
      <c r="A176" s="2">
        <v>173</v>
      </c>
      <c r="B176" s="92"/>
      <c r="C176" s="92"/>
      <c r="D176" s="92"/>
      <c r="E176" s="85"/>
      <c r="F176" s="92"/>
      <c r="G176" s="85" t="str">
        <f t="shared" si="35"/>
        <v/>
      </c>
      <c r="H176" s="109">
        <f t="shared" si="34"/>
        <v>0</v>
      </c>
      <c r="I176" s="92"/>
      <c r="J176" s="92"/>
      <c r="K176" s="92"/>
      <c r="L176" s="48"/>
    </row>
    <row r="177" spans="1:12" x14ac:dyDescent="0.35">
      <c r="A177" s="2">
        <v>174</v>
      </c>
      <c r="B177" s="92"/>
      <c r="C177" s="92"/>
      <c r="D177" s="92"/>
      <c r="E177" s="85"/>
      <c r="F177" s="92"/>
      <c r="G177" s="85" t="str">
        <f t="shared" si="35"/>
        <v/>
      </c>
      <c r="H177" s="109">
        <f t="shared" si="34"/>
        <v>0</v>
      </c>
      <c r="I177" s="92"/>
      <c r="J177" s="92"/>
      <c r="K177" s="92"/>
      <c r="L177" s="48"/>
    </row>
    <row r="178" spans="1:12" x14ac:dyDescent="0.35">
      <c r="A178" s="2">
        <v>175</v>
      </c>
      <c r="B178" s="92"/>
      <c r="C178" s="92"/>
      <c r="D178" s="92"/>
      <c r="E178" s="85"/>
      <c r="F178" s="92"/>
      <c r="G178" s="85" t="str">
        <f t="shared" si="35"/>
        <v/>
      </c>
      <c r="H178" s="109">
        <f t="shared" si="34"/>
        <v>0</v>
      </c>
      <c r="I178" s="92"/>
      <c r="J178" s="92"/>
      <c r="K178" s="92"/>
      <c r="L178" s="48"/>
    </row>
    <row r="179" spans="1:12" x14ac:dyDescent="0.35">
      <c r="A179" s="2">
        <v>176</v>
      </c>
      <c r="B179" s="92"/>
      <c r="C179" s="92"/>
      <c r="D179" s="92"/>
      <c r="E179" s="85"/>
      <c r="F179" s="92"/>
      <c r="G179" s="85" t="str">
        <f t="shared" si="35"/>
        <v/>
      </c>
      <c r="H179" s="109">
        <f t="shared" si="34"/>
        <v>0</v>
      </c>
      <c r="I179" s="92"/>
      <c r="J179" s="92"/>
      <c r="K179" s="92"/>
      <c r="L179" s="48"/>
    </row>
    <row r="180" spans="1:12" x14ac:dyDescent="0.35">
      <c r="A180" s="2">
        <v>177</v>
      </c>
      <c r="B180" s="92"/>
      <c r="C180" s="92"/>
      <c r="D180" s="92"/>
      <c r="E180" s="85"/>
      <c r="F180" s="92"/>
      <c r="G180" s="85" t="str">
        <f t="shared" si="35"/>
        <v/>
      </c>
      <c r="H180" s="109">
        <f t="shared" si="34"/>
        <v>0</v>
      </c>
      <c r="I180" s="92"/>
      <c r="J180" s="92"/>
      <c r="K180" s="92"/>
      <c r="L180" s="48"/>
    </row>
    <row r="181" spans="1:12" x14ac:dyDescent="0.35">
      <c r="A181" s="2">
        <v>178</v>
      </c>
      <c r="B181" s="92"/>
      <c r="C181" s="92"/>
      <c r="D181" s="92"/>
      <c r="E181" s="85"/>
      <c r="F181" s="92"/>
      <c r="G181" s="85" t="str">
        <f t="shared" si="35"/>
        <v/>
      </c>
      <c r="H181" s="109">
        <f t="shared" si="34"/>
        <v>0</v>
      </c>
      <c r="I181" s="92"/>
      <c r="J181" s="92"/>
      <c r="K181" s="92"/>
      <c r="L181" s="48"/>
    </row>
    <row r="182" spans="1:12" x14ac:dyDescent="0.35">
      <c r="A182" s="2">
        <v>179</v>
      </c>
      <c r="B182" s="92"/>
      <c r="C182" s="92"/>
      <c r="D182" s="92"/>
      <c r="E182" s="85"/>
      <c r="F182" s="92"/>
      <c r="G182" s="85" t="str">
        <f t="shared" si="35"/>
        <v/>
      </c>
      <c r="H182" s="109">
        <f t="shared" si="34"/>
        <v>0</v>
      </c>
      <c r="I182" s="92"/>
      <c r="J182" s="92"/>
      <c r="K182" s="92"/>
      <c r="L182" s="48"/>
    </row>
    <row r="183" spans="1:12" x14ac:dyDescent="0.35">
      <c r="A183" s="2">
        <v>180</v>
      </c>
      <c r="B183" s="92"/>
      <c r="C183" s="92"/>
      <c r="D183" s="92"/>
      <c r="E183" s="85"/>
      <c r="F183" s="92"/>
      <c r="G183" s="85" t="str">
        <f t="shared" si="35"/>
        <v/>
      </c>
      <c r="H183" s="109">
        <f t="shared" si="34"/>
        <v>0</v>
      </c>
      <c r="I183" s="92"/>
      <c r="J183" s="92"/>
      <c r="K183" s="92"/>
      <c r="L183" s="48"/>
    </row>
    <row r="184" spans="1:12" x14ac:dyDescent="0.35">
      <c r="A184" s="2">
        <v>181</v>
      </c>
      <c r="B184" s="92"/>
      <c r="C184" s="92"/>
      <c r="D184" s="92"/>
      <c r="E184" s="85"/>
      <c r="F184" s="92"/>
      <c r="G184" s="85" t="str">
        <f t="shared" si="35"/>
        <v/>
      </c>
      <c r="H184" s="109">
        <f t="shared" si="34"/>
        <v>0</v>
      </c>
      <c r="I184" s="92"/>
      <c r="J184" s="92"/>
      <c r="K184" s="92"/>
      <c r="L184" s="48"/>
    </row>
    <row r="185" spans="1:12" x14ac:dyDescent="0.35">
      <c r="A185" s="2">
        <v>182</v>
      </c>
      <c r="B185" s="92"/>
      <c r="C185" s="92"/>
      <c r="D185" s="92"/>
      <c r="E185" s="85"/>
      <c r="F185" s="92"/>
      <c r="G185" s="85" t="str">
        <f t="shared" si="35"/>
        <v/>
      </c>
      <c r="H185" s="109">
        <f t="shared" si="34"/>
        <v>0</v>
      </c>
      <c r="I185" s="92"/>
      <c r="J185" s="92"/>
      <c r="K185" s="92"/>
      <c r="L185" s="48"/>
    </row>
    <row r="186" spans="1:12" x14ac:dyDescent="0.35">
      <c r="A186" s="2">
        <v>183</v>
      </c>
      <c r="B186" s="92"/>
      <c r="C186" s="92"/>
      <c r="D186" s="92"/>
      <c r="E186" s="85"/>
      <c r="F186" s="92"/>
      <c r="G186" s="85" t="str">
        <f t="shared" si="35"/>
        <v/>
      </c>
      <c r="H186" s="109">
        <f t="shared" si="34"/>
        <v>0</v>
      </c>
      <c r="I186" s="92"/>
      <c r="J186" s="92"/>
      <c r="K186" s="92"/>
      <c r="L186" s="48"/>
    </row>
    <row r="187" spans="1:12" x14ac:dyDescent="0.35">
      <c r="A187" s="2">
        <v>184</v>
      </c>
      <c r="B187" s="92"/>
      <c r="C187" s="92"/>
      <c r="D187" s="92"/>
      <c r="E187" s="85"/>
      <c r="F187" s="92"/>
      <c r="G187" s="85" t="str">
        <f t="shared" si="35"/>
        <v/>
      </c>
      <c r="H187" s="109">
        <f t="shared" si="34"/>
        <v>0</v>
      </c>
      <c r="I187" s="92"/>
      <c r="J187" s="92"/>
      <c r="K187" s="92"/>
      <c r="L187" s="48"/>
    </row>
    <row r="188" spans="1:12" x14ac:dyDescent="0.35">
      <c r="A188" s="2">
        <v>185</v>
      </c>
      <c r="B188" s="92"/>
      <c r="C188" s="92"/>
      <c r="D188" s="92"/>
      <c r="E188" s="85"/>
      <c r="F188" s="92"/>
      <c r="G188" s="85" t="str">
        <f t="shared" si="35"/>
        <v/>
      </c>
      <c r="H188" s="109">
        <f t="shared" si="34"/>
        <v>0</v>
      </c>
      <c r="I188" s="92"/>
      <c r="J188" s="92"/>
      <c r="K188" s="92"/>
      <c r="L188" s="48"/>
    </row>
    <row r="189" spans="1:12" x14ac:dyDescent="0.35">
      <c r="A189" s="2">
        <v>186</v>
      </c>
      <c r="B189" s="92"/>
      <c r="C189" s="92"/>
      <c r="D189" s="92"/>
      <c r="E189" s="85"/>
      <c r="F189" s="92"/>
      <c r="G189" s="85" t="str">
        <f t="shared" si="35"/>
        <v/>
      </c>
      <c r="H189" s="109">
        <f t="shared" si="34"/>
        <v>0</v>
      </c>
      <c r="I189" s="92"/>
      <c r="J189" s="92"/>
      <c r="K189" s="92"/>
      <c r="L189" s="48"/>
    </row>
    <row r="190" spans="1:12" x14ac:dyDescent="0.35">
      <c r="A190" s="2">
        <v>187</v>
      </c>
      <c r="B190" s="92"/>
      <c r="C190" s="92"/>
      <c r="D190" s="92"/>
      <c r="E190" s="85"/>
      <c r="F190" s="92"/>
      <c r="G190" s="85" t="str">
        <f t="shared" si="35"/>
        <v/>
      </c>
      <c r="H190" s="109">
        <f t="shared" si="34"/>
        <v>0</v>
      </c>
      <c r="I190" s="92"/>
      <c r="J190" s="92"/>
      <c r="K190" s="92"/>
      <c r="L190" s="48"/>
    </row>
    <row r="191" spans="1:12" x14ac:dyDescent="0.35">
      <c r="A191" s="2">
        <v>188</v>
      </c>
      <c r="B191" s="92"/>
      <c r="C191" s="92"/>
      <c r="D191" s="92"/>
      <c r="E191" s="85"/>
      <c r="F191" s="92"/>
      <c r="G191" s="85" t="str">
        <f t="shared" si="35"/>
        <v/>
      </c>
      <c r="H191" s="109">
        <f t="shared" si="34"/>
        <v>0</v>
      </c>
      <c r="I191" s="92"/>
      <c r="J191" s="92"/>
      <c r="K191" s="92"/>
      <c r="L191" s="48"/>
    </row>
    <row r="192" spans="1:12" x14ac:dyDescent="0.35">
      <c r="A192" s="2">
        <v>189</v>
      </c>
      <c r="B192" s="92"/>
      <c r="C192" s="92"/>
      <c r="D192" s="92"/>
      <c r="E192" s="85"/>
      <c r="F192" s="92"/>
      <c r="G192" s="85" t="str">
        <f t="shared" si="35"/>
        <v/>
      </c>
      <c r="H192" s="109">
        <f t="shared" si="34"/>
        <v>0</v>
      </c>
      <c r="I192" s="92"/>
      <c r="J192" s="92"/>
      <c r="K192" s="92"/>
      <c r="L192" s="48"/>
    </row>
    <row r="193" spans="1:12" x14ac:dyDescent="0.35">
      <c r="A193" s="2">
        <v>190</v>
      </c>
      <c r="B193" s="92"/>
      <c r="C193" s="92"/>
      <c r="D193" s="92"/>
      <c r="E193" s="85"/>
      <c r="F193" s="92"/>
      <c r="G193" s="85" t="str">
        <f t="shared" si="35"/>
        <v/>
      </c>
      <c r="H193" s="109">
        <f t="shared" si="34"/>
        <v>0</v>
      </c>
      <c r="I193" s="92"/>
      <c r="J193" s="92"/>
      <c r="K193" s="92"/>
      <c r="L193" s="48"/>
    </row>
    <row r="194" spans="1:12" x14ac:dyDescent="0.35">
      <c r="A194" s="2">
        <v>191</v>
      </c>
      <c r="B194" s="92"/>
      <c r="C194" s="92"/>
      <c r="D194" s="92"/>
      <c r="E194" s="85"/>
      <c r="F194" s="92"/>
      <c r="G194" s="85" t="str">
        <f t="shared" si="35"/>
        <v/>
      </c>
      <c r="H194" s="109">
        <f t="shared" si="34"/>
        <v>0</v>
      </c>
      <c r="I194" s="92"/>
      <c r="J194" s="92"/>
      <c r="K194" s="92"/>
      <c r="L194" s="48"/>
    </row>
    <row r="195" spans="1:12" x14ac:dyDescent="0.35">
      <c r="A195" s="2">
        <v>192</v>
      </c>
      <c r="B195" s="92"/>
      <c r="C195" s="92"/>
      <c r="D195" s="92"/>
      <c r="E195" s="85"/>
      <c r="F195" s="92"/>
      <c r="G195" s="85" t="str">
        <f t="shared" si="35"/>
        <v/>
      </c>
      <c r="H195" s="109">
        <f t="shared" si="34"/>
        <v>0</v>
      </c>
      <c r="I195" s="92"/>
      <c r="J195" s="92"/>
      <c r="K195" s="92"/>
      <c r="L195" s="48"/>
    </row>
    <row r="196" spans="1:12" x14ac:dyDescent="0.35">
      <c r="A196" s="2">
        <v>193</v>
      </c>
      <c r="B196" s="92"/>
      <c r="C196" s="92"/>
      <c r="D196" s="92"/>
      <c r="E196" s="85"/>
      <c r="F196" s="92"/>
      <c r="G196" s="85" t="str">
        <f t="shared" si="35"/>
        <v/>
      </c>
      <c r="H196" s="109">
        <f t="shared" si="34"/>
        <v>0</v>
      </c>
      <c r="I196" s="92"/>
      <c r="J196" s="92"/>
      <c r="K196" s="92"/>
      <c r="L196" s="48"/>
    </row>
    <row r="197" spans="1:12" x14ac:dyDescent="0.35">
      <c r="A197" s="2">
        <v>194</v>
      </c>
      <c r="B197" s="92"/>
      <c r="C197" s="92"/>
      <c r="D197" s="92"/>
      <c r="E197" s="85"/>
      <c r="F197" s="92"/>
      <c r="G197" s="85" t="str">
        <f t="shared" si="35"/>
        <v/>
      </c>
      <c r="H197" s="109">
        <f t="shared" si="34"/>
        <v>0</v>
      </c>
      <c r="I197" s="92"/>
      <c r="J197" s="92"/>
      <c r="K197" s="92"/>
      <c r="L197" s="48"/>
    </row>
    <row r="198" spans="1:12" x14ac:dyDescent="0.35">
      <c r="A198" s="2">
        <v>195</v>
      </c>
      <c r="B198" s="92"/>
      <c r="C198" s="92"/>
      <c r="D198" s="92"/>
      <c r="E198" s="85"/>
      <c r="F198" s="92"/>
      <c r="G198" s="85" t="str">
        <f t="shared" si="35"/>
        <v/>
      </c>
      <c r="H198" s="109">
        <f t="shared" ref="H198:H261" si="36">I198/8</f>
        <v>0</v>
      </c>
      <c r="I198" s="92"/>
      <c r="J198" s="92"/>
      <c r="K198" s="92"/>
      <c r="L198" s="48"/>
    </row>
    <row r="199" spans="1:12" x14ac:dyDescent="0.35">
      <c r="A199" s="2">
        <v>196</v>
      </c>
      <c r="B199" s="92"/>
      <c r="C199" s="92"/>
      <c r="D199" s="92"/>
      <c r="E199" s="85"/>
      <c r="F199" s="92"/>
      <c r="G199" s="85" t="str">
        <f t="shared" si="35"/>
        <v/>
      </c>
      <c r="H199" s="109">
        <f t="shared" si="36"/>
        <v>0</v>
      </c>
      <c r="I199" s="92"/>
      <c r="J199" s="92"/>
      <c r="K199" s="92"/>
      <c r="L199" s="48"/>
    </row>
    <row r="200" spans="1:12" x14ac:dyDescent="0.35">
      <c r="A200" s="2">
        <v>197</v>
      </c>
      <c r="B200" s="92"/>
      <c r="C200" s="92"/>
      <c r="D200" s="92"/>
      <c r="E200" s="85"/>
      <c r="F200" s="92"/>
      <c r="G200" s="85" t="str">
        <f t="shared" si="35"/>
        <v/>
      </c>
      <c r="H200" s="109">
        <f t="shared" si="36"/>
        <v>0</v>
      </c>
      <c r="I200" s="92"/>
      <c r="J200" s="92"/>
      <c r="K200" s="92"/>
      <c r="L200" s="48"/>
    </row>
    <row r="201" spans="1:12" x14ac:dyDescent="0.35">
      <c r="A201" s="2">
        <v>198</v>
      </c>
      <c r="B201" s="92"/>
      <c r="C201" s="92"/>
      <c r="D201" s="92"/>
      <c r="E201" s="85"/>
      <c r="F201" s="92"/>
      <c r="G201" s="85" t="str">
        <f t="shared" si="35"/>
        <v/>
      </c>
      <c r="H201" s="109">
        <f t="shared" si="36"/>
        <v>0</v>
      </c>
      <c r="I201" s="92"/>
      <c r="J201" s="92"/>
      <c r="K201" s="92"/>
      <c r="L201" s="48"/>
    </row>
    <row r="202" spans="1:12" x14ac:dyDescent="0.35">
      <c r="A202" s="2">
        <v>199</v>
      </c>
      <c r="B202" s="92"/>
      <c r="C202" s="92"/>
      <c r="D202" s="92"/>
      <c r="E202" s="85"/>
      <c r="F202" s="92"/>
      <c r="G202" s="85" t="str">
        <f t="shared" si="35"/>
        <v/>
      </c>
      <c r="H202" s="109">
        <f t="shared" si="36"/>
        <v>0</v>
      </c>
      <c r="I202" s="92"/>
      <c r="J202" s="92"/>
      <c r="K202" s="92"/>
      <c r="L202" s="48"/>
    </row>
    <row r="203" spans="1:12" x14ac:dyDescent="0.35">
      <c r="A203" s="2">
        <v>200</v>
      </c>
      <c r="B203" s="92"/>
      <c r="C203" s="92"/>
      <c r="D203" s="92"/>
      <c r="E203" s="85"/>
      <c r="F203" s="92"/>
      <c r="G203" s="85" t="str">
        <f t="shared" si="35"/>
        <v/>
      </c>
      <c r="H203" s="109">
        <f t="shared" si="36"/>
        <v>0</v>
      </c>
      <c r="I203" s="92"/>
      <c r="J203" s="92"/>
      <c r="K203" s="92"/>
      <c r="L203" s="48"/>
    </row>
    <row r="204" spans="1:12" x14ac:dyDescent="0.35">
      <c r="A204" s="2">
        <v>201</v>
      </c>
      <c r="B204" s="92"/>
      <c r="C204" s="92"/>
      <c r="D204" s="92"/>
      <c r="E204" s="85"/>
      <c r="F204" s="92"/>
      <c r="G204" s="85" t="str">
        <f t="shared" si="35"/>
        <v/>
      </c>
      <c r="H204" s="109">
        <f t="shared" si="36"/>
        <v>0</v>
      </c>
      <c r="I204" s="92"/>
      <c r="J204" s="92"/>
      <c r="K204" s="92"/>
      <c r="L204" s="48"/>
    </row>
    <row r="205" spans="1:12" x14ac:dyDescent="0.35">
      <c r="A205" s="2">
        <v>202</v>
      </c>
      <c r="B205" s="92"/>
      <c r="C205" s="92"/>
      <c r="D205" s="92"/>
      <c r="E205" s="85"/>
      <c r="F205" s="92"/>
      <c r="G205" s="85" t="str">
        <f t="shared" si="35"/>
        <v/>
      </c>
      <c r="H205" s="109">
        <f t="shared" si="36"/>
        <v>0</v>
      </c>
      <c r="I205" s="92"/>
      <c r="J205" s="92"/>
      <c r="K205" s="92"/>
      <c r="L205" s="48"/>
    </row>
    <row r="206" spans="1:12" x14ac:dyDescent="0.35">
      <c r="A206" s="2">
        <v>203</v>
      </c>
      <c r="B206" s="92"/>
      <c r="C206" s="92"/>
      <c r="D206" s="92"/>
      <c r="E206" s="85"/>
      <c r="F206" s="92"/>
      <c r="G206" s="85" t="str">
        <f t="shared" si="35"/>
        <v/>
      </c>
      <c r="H206" s="109">
        <f t="shared" si="36"/>
        <v>0</v>
      </c>
      <c r="I206" s="92"/>
      <c r="J206" s="92"/>
      <c r="K206" s="92"/>
      <c r="L206" s="48"/>
    </row>
    <row r="207" spans="1:12" x14ac:dyDescent="0.35">
      <c r="A207" s="2">
        <v>204</v>
      </c>
      <c r="B207" s="92"/>
      <c r="C207" s="92"/>
      <c r="D207" s="92"/>
      <c r="E207" s="85"/>
      <c r="F207" s="92"/>
      <c r="G207" s="85" t="str">
        <f t="shared" si="35"/>
        <v/>
      </c>
      <c r="H207" s="109">
        <f t="shared" si="36"/>
        <v>0</v>
      </c>
      <c r="I207" s="92"/>
      <c r="J207" s="92"/>
      <c r="K207" s="92"/>
      <c r="L207" s="48"/>
    </row>
    <row r="208" spans="1:12" x14ac:dyDescent="0.35">
      <c r="A208" s="2">
        <v>205</v>
      </c>
      <c r="B208" s="92"/>
      <c r="C208" s="92"/>
      <c r="D208" s="92"/>
      <c r="E208" s="85"/>
      <c r="F208" s="92"/>
      <c r="G208" s="85" t="str">
        <f t="shared" si="35"/>
        <v/>
      </c>
      <c r="H208" s="109">
        <f t="shared" si="36"/>
        <v>0</v>
      </c>
      <c r="I208" s="92"/>
      <c r="J208" s="92"/>
      <c r="K208" s="92"/>
      <c r="L208" s="48"/>
    </row>
    <row r="209" spans="1:12" x14ac:dyDescent="0.35">
      <c r="A209" s="2">
        <v>206</v>
      </c>
      <c r="B209" s="92"/>
      <c r="C209" s="92"/>
      <c r="D209" s="92"/>
      <c r="E209" s="85"/>
      <c r="F209" s="92"/>
      <c r="G209" s="85" t="str">
        <f t="shared" si="35"/>
        <v/>
      </c>
      <c r="H209" s="109">
        <f t="shared" si="36"/>
        <v>0</v>
      </c>
      <c r="I209" s="92"/>
      <c r="J209" s="92"/>
      <c r="K209" s="92"/>
      <c r="L209" s="48"/>
    </row>
    <row r="210" spans="1:12" x14ac:dyDescent="0.35">
      <c r="A210" s="2">
        <v>207</v>
      </c>
      <c r="B210" s="92"/>
      <c r="C210" s="92"/>
      <c r="D210" s="92"/>
      <c r="E210" s="85"/>
      <c r="F210" s="92"/>
      <c r="G210" s="85" t="str">
        <f t="shared" si="35"/>
        <v/>
      </c>
      <c r="H210" s="109">
        <f t="shared" si="36"/>
        <v>0</v>
      </c>
      <c r="I210" s="92"/>
      <c r="J210" s="92"/>
      <c r="K210" s="92"/>
      <c r="L210" s="48"/>
    </row>
    <row r="211" spans="1:12" x14ac:dyDescent="0.35">
      <c r="A211" s="2">
        <v>208</v>
      </c>
      <c r="B211" s="92"/>
      <c r="C211" s="92"/>
      <c r="D211" s="92"/>
      <c r="E211" s="85"/>
      <c r="F211" s="92"/>
      <c r="G211" s="85" t="str">
        <f t="shared" si="35"/>
        <v/>
      </c>
      <c r="H211" s="109">
        <f t="shared" si="36"/>
        <v>0</v>
      </c>
      <c r="I211" s="92"/>
      <c r="J211" s="92"/>
      <c r="K211" s="92"/>
      <c r="L211" s="48"/>
    </row>
    <row r="212" spans="1:12" x14ac:dyDescent="0.35">
      <c r="A212" s="2">
        <v>209</v>
      </c>
      <c r="B212" s="92"/>
      <c r="C212" s="92"/>
      <c r="D212" s="92"/>
      <c r="E212" s="85"/>
      <c r="F212" s="92"/>
      <c r="G212" s="85" t="str">
        <f t="shared" si="35"/>
        <v/>
      </c>
      <c r="H212" s="109">
        <f t="shared" si="36"/>
        <v>0</v>
      </c>
      <c r="I212" s="92"/>
      <c r="J212" s="92"/>
      <c r="K212" s="92"/>
      <c r="L212" s="48"/>
    </row>
    <row r="213" spans="1:12" x14ac:dyDescent="0.35">
      <c r="A213" s="2">
        <v>210</v>
      </c>
      <c r="B213" s="92"/>
      <c r="C213" s="92"/>
      <c r="D213" s="92"/>
      <c r="E213" s="85"/>
      <c r="F213" s="92"/>
      <c r="G213" s="85" t="str">
        <f t="shared" si="35"/>
        <v/>
      </c>
      <c r="H213" s="109">
        <f t="shared" si="36"/>
        <v>0</v>
      </c>
      <c r="I213" s="92"/>
      <c r="J213" s="92"/>
      <c r="K213" s="92"/>
      <c r="L213" s="48"/>
    </row>
    <row r="214" spans="1:12" x14ac:dyDescent="0.35">
      <c r="A214" s="2">
        <v>211</v>
      </c>
      <c r="B214" s="92"/>
      <c r="C214" s="92"/>
      <c r="D214" s="92"/>
      <c r="E214" s="85"/>
      <c r="F214" s="92"/>
      <c r="G214" s="85" t="str">
        <f t="shared" si="35"/>
        <v/>
      </c>
      <c r="H214" s="109">
        <f t="shared" si="36"/>
        <v>0</v>
      </c>
      <c r="I214" s="92"/>
      <c r="J214" s="92"/>
      <c r="K214" s="92"/>
      <c r="L214" s="48"/>
    </row>
    <row r="215" spans="1:12" x14ac:dyDescent="0.35">
      <c r="A215" s="2">
        <v>212</v>
      </c>
      <c r="B215" s="92"/>
      <c r="C215" s="92"/>
      <c r="D215" s="92"/>
      <c r="E215" s="85"/>
      <c r="F215" s="92"/>
      <c r="G215" s="85" t="str">
        <f t="shared" si="35"/>
        <v/>
      </c>
      <c r="H215" s="109">
        <f t="shared" si="36"/>
        <v>0</v>
      </c>
      <c r="I215" s="92"/>
      <c r="J215" s="92"/>
      <c r="K215" s="92"/>
      <c r="L215" s="48"/>
    </row>
    <row r="216" spans="1:12" x14ac:dyDescent="0.35">
      <c r="A216" s="2">
        <v>213</v>
      </c>
      <c r="B216" s="92"/>
      <c r="C216" s="92"/>
      <c r="D216" s="92"/>
      <c r="E216" s="85"/>
      <c r="F216" s="92"/>
      <c r="G216" s="85" t="str">
        <f t="shared" si="35"/>
        <v/>
      </c>
      <c r="H216" s="109">
        <f t="shared" si="36"/>
        <v>0</v>
      </c>
      <c r="I216" s="92"/>
      <c r="J216" s="92"/>
      <c r="K216" s="92"/>
      <c r="L216" s="48"/>
    </row>
    <row r="217" spans="1:12" x14ac:dyDescent="0.35">
      <c r="A217" s="2">
        <v>214</v>
      </c>
      <c r="B217" s="92"/>
      <c r="C217" s="92"/>
      <c r="D217" s="92"/>
      <c r="E217" s="85"/>
      <c r="F217" s="92"/>
      <c r="G217" s="85" t="str">
        <f t="shared" si="35"/>
        <v/>
      </c>
      <c r="H217" s="109">
        <f t="shared" si="36"/>
        <v>0</v>
      </c>
      <c r="I217" s="92"/>
      <c r="J217" s="92"/>
      <c r="K217" s="92"/>
      <c r="L217" s="48"/>
    </row>
    <row r="218" spans="1:12" x14ac:dyDescent="0.35">
      <c r="A218" s="2">
        <v>215</v>
      </c>
      <c r="B218" s="92"/>
      <c r="C218" s="92"/>
      <c r="D218" s="92"/>
      <c r="E218" s="85"/>
      <c r="F218" s="92"/>
      <c r="G218" s="85" t="str">
        <f t="shared" si="35"/>
        <v/>
      </c>
      <c r="H218" s="109">
        <f t="shared" si="36"/>
        <v>0</v>
      </c>
      <c r="I218" s="92"/>
      <c r="J218" s="92"/>
      <c r="K218" s="92"/>
      <c r="L218" s="48"/>
    </row>
    <row r="219" spans="1:12" x14ac:dyDescent="0.35">
      <c r="A219" s="2">
        <v>216</v>
      </c>
      <c r="B219" s="92"/>
      <c r="C219" s="92"/>
      <c r="D219" s="92"/>
      <c r="E219" s="85"/>
      <c r="F219" s="92"/>
      <c r="G219" s="85" t="str">
        <f t="shared" si="35"/>
        <v/>
      </c>
      <c r="H219" s="109">
        <f t="shared" si="36"/>
        <v>0</v>
      </c>
      <c r="I219" s="92"/>
      <c r="J219" s="92"/>
      <c r="K219" s="92"/>
      <c r="L219" s="48"/>
    </row>
    <row r="220" spans="1:12" x14ac:dyDescent="0.35">
      <c r="A220" s="2">
        <v>217</v>
      </c>
      <c r="B220" s="92"/>
      <c r="C220" s="92"/>
      <c r="D220" s="92"/>
      <c r="E220" s="85"/>
      <c r="F220" s="92"/>
      <c r="G220" s="85" t="str">
        <f t="shared" si="35"/>
        <v/>
      </c>
      <c r="H220" s="109">
        <f t="shared" si="36"/>
        <v>0</v>
      </c>
      <c r="I220" s="92"/>
      <c r="J220" s="92"/>
      <c r="K220" s="92"/>
      <c r="L220" s="48"/>
    </row>
    <row r="221" spans="1:12" x14ac:dyDescent="0.35">
      <c r="A221" s="2">
        <v>218</v>
      </c>
      <c r="B221" s="92"/>
      <c r="C221" s="92"/>
      <c r="D221" s="92"/>
      <c r="E221" s="85"/>
      <c r="F221" s="92"/>
      <c r="G221" s="85" t="str">
        <f t="shared" si="35"/>
        <v/>
      </c>
      <c r="H221" s="109">
        <f t="shared" si="36"/>
        <v>0</v>
      </c>
      <c r="I221" s="92"/>
      <c r="J221" s="92"/>
      <c r="K221" s="92"/>
      <c r="L221" s="48"/>
    </row>
    <row r="222" spans="1:12" x14ac:dyDescent="0.35">
      <c r="A222" s="2">
        <v>219</v>
      </c>
      <c r="B222" s="92"/>
      <c r="C222" s="92"/>
      <c r="D222" s="92"/>
      <c r="E222" s="85"/>
      <c r="F222" s="92"/>
      <c r="G222" s="85" t="str">
        <f t="shared" si="35"/>
        <v/>
      </c>
      <c r="H222" s="109">
        <f t="shared" si="36"/>
        <v>0</v>
      </c>
      <c r="I222" s="92"/>
      <c r="J222" s="92"/>
      <c r="K222" s="92"/>
      <c r="L222" s="48"/>
    </row>
    <row r="223" spans="1:12" x14ac:dyDescent="0.35">
      <c r="A223" s="2">
        <v>220</v>
      </c>
      <c r="B223" s="92"/>
      <c r="C223" s="92"/>
      <c r="D223" s="92"/>
      <c r="E223" s="85"/>
      <c r="F223" s="92"/>
      <c r="G223" s="85" t="str">
        <f t="shared" si="35"/>
        <v/>
      </c>
      <c r="H223" s="109">
        <f t="shared" si="36"/>
        <v>0</v>
      </c>
      <c r="I223" s="92"/>
      <c r="J223" s="92"/>
      <c r="K223" s="92"/>
      <c r="L223" s="48"/>
    </row>
    <row r="224" spans="1:12" x14ac:dyDescent="0.35">
      <c r="A224" s="2">
        <v>221</v>
      </c>
      <c r="B224" s="92"/>
      <c r="C224" s="92"/>
      <c r="D224" s="92"/>
      <c r="E224" s="85"/>
      <c r="F224" s="92"/>
      <c r="G224" s="85" t="str">
        <f t="shared" si="35"/>
        <v/>
      </c>
      <c r="H224" s="109">
        <f t="shared" si="36"/>
        <v>0</v>
      </c>
      <c r="I224" s="92"/>
      <c r="J224" s="92"/>
      <c r="K224" s="92"/>
      <c r="L224" s="48"/>
    </row>
    <row r="225" spans="1:12" x14ac:dyDescent="0.35">
      <c r="A225" s="2">
        <v>222</v>
      </c>
      <c r="B225" s="92"/>
      <c r="C225" s="92"/>
      <c r="D225" s="92"/>
      <c r="E225" s="85"/>
      <c r="F225" s="92"/>
      <c r="G225" s="85" t="str">
        <f t="shared" ref="G225:G288" si="37">CONCATENATE(B225,C225,D225,E225,F225)</f>
        <v/>
      </c>
      <c r="H225" s="109">
        <f t="shared" si="36"/>
        <v>0</v>
      </c>
      <c r="I225" s="92"/>
      <c r="J225" s="92"/>
      <c r="K225" s="92"/>
      <c r="L225" s="48"/>
    </row>
    <row r="226" spans="1:12" x14ac:dyDescent="0.35">
      <c r="A226" s="2">
        <v>223</v>
      </c>
      <c r="B226" s="92"/>
      <c r="C226" s="92"/>
      <c r="D226" s="92"/>
      <c r="E226" s="85"/>
      <c r="F226" s="92"/>
      <c r="G226" s="85" t="str">
        <f t="shared" si="37"/>
        <v/>
      </c>
      <c r="H226" s="109">
        <f t="shared" si="36"/>
        <v>0</v>
      </c>
      <c r="I226" s="92"/>
      <c r="J226" s="92"/>
      <c r="K226" s="92"/>
      <c r="L226" s="48"/>
    </row>
    <row r="227" spans="1:12" x14ac:dyDescent="0.35">
      <c r="A227" s="2">
        <v>224</v>
      </c>
      <c r="B227" s="92"/>
      <c r="C227" s="92"/>
      <c r="D227" s="92"/>
      <c r="E227" s="85"/>
      <c r="F227" s="92"/>
      <c r="G227" s="85" t="str">
        <f t="shared" si="37"/>
        <v/>
      </c>
      <c r="H227" s="109">
        <f t="shared" si="36"/>
        <v>0</v>
      </c>
      <c r="I227" s="92"/>
      <c r="J227" s="92"/>
      <c r="K227" s="92"/>
      <c r="L227" s="48"/>
    </row>
    <row r="228" spans="1:12" x14ac:dyDescent="0.35">
      <c r="A228" s="2">
        <v>225</v>
      </c>
      <c r="B228" s="92"/>
      <c r="C228" s="92"/>
      <c r="D228" s="92"/>
      <c r="E228" s="85"/>
      <c r="F228" s="92"/>
      <c r="G228" s="85" t="str">
        <f t="shared" si="37"/>
        <v/>
      </c>
      <c r="H228" s="109">
        <f t="shared" si="36"/>
        <v>0</v>
      </c>
      <c r="I228" s="92"/>
      <c r="J228" s="92"/>
      <c r="K228" s="92"/>
      <c r="L228" s="48"/>
    </row>
    <row r="229" spans="1:12" x14ac:dyDescent="0.35">
      <c r="A229" s="2">
        <v>226</v>
      </c>
      <c r="B229" s="92"/>
      <c r="C229" s="92"/>
      <c r="D229" s="92"/>
      <c r="E229" s="85"/>
      <c r="F229" s="92"/>
      <c r="G229" s="85" t="str">
        <f t="shared" si="37"/>
        <v/>
      </c>
      <c r="H229" s="109">
        <f t="shared" si="36"/>
        <v>0</v>
      </c>
      <c r="I229" s="92"/>
      <c r="J229" s="92"/>
      <c r="K229" s="92"/>
      <c r="L229" s="48"/>
    </row>
    <row r="230" spans="1:12" x14ac:dyDescent="0.35">
      <c r="A230" s="2">
        <v>227</v>
      </c>
      <c r="B230" s="92"/>
      <c r="C230" s="92"/>
      <c r="D230" s="92"/>
      <c r="E230" s="85"/>
      <c r="F230" s="92"/>
      <c r="G230" s="85" t="str">
        <f t="shared" si="37"/>
        <v/>
      </c>
      <c r="H230" s="109">
        <f t="shared" si="36"/>
        <v>0</v>
      </c>
      <c r="I230" s="92"/>
      <c r="J230" s="92"/>
      <c r="K230" s="92"/>
      <c r="L230" s="48"/>
    </row>
    <row r="231" spans="1:12" x14ac:dyDescent="0.35">
      <c r="A231" s="2">
        <v>228</v>
      </c>
      <c r="B231" s="92"/>
      <c r="C231" s="92"/>
      <c r="D231" s="92"/>
      <c r="E231" s="85"/>
      <c r="F231" s="92"/>
      <c r="G231" s="85" t="str">
        <f t="shared" si="37"/>
        <v/>
      </c>
      <c r="H231" s="109">
        <f t="shared" si="36"/>
        <v>0</v>
      </c>
      <c r="I231" s="92"/>
      <c r="J231" s="92"/>
      <c r="K231" s="92"/>
      <c r="L231" s="48"/>
    </row>
    <row r="232" spans="1:12" x14ac:dyDescent="0.35">
      <c r="A232" s="2">
        <v>229</v>
      </c>
      <c r="B232" s="92"/>
      <c r="C232" s="92"/>
      <c r="D232" s="92"/>
      <c r="E232" s="85"/>
      <c r="F232" s="92"/>
      <c r="G232" s="85" t="str">
        <f t="shared" si="37"/>
        <v/>
      </c>
      <c r="H232" s="109">
        <f t="shared" si="36"/>
        <v>0</v>
      </c>
      <c r="I232" s="92"/>
      <c r="J232" s="92"/>
      <c r="K232" s="92"/>
      <c r="L232" s="48"/>
    </row>
    <row r="233" spans="1:12" x14ac:dyDescent="0.35">
      <c r="A233" s="2">
        <v>230</v>
      </c>
      <c r="B233" s="92"/>
      <c r="C233" s="92"/>
      <c r="D233" s="92"/>
      <c r="E233" s="85"/>
      <c r="F233" s="92"/>
      <c r="G233" s="85" t="str">
        <f t="shared" si="37"/>
        <v/>
      </c>
      <c r="H233" s="109">
        <f t="shared" si="36"/>
        <v>0</v>
      </c>
      <c r="I233" s="92"/>
      <c r="J233" s="92"/>
      <c r="K233" s="92"/>
      <c r="L233" s="48"/>
    </row>
    <row r="234" spans="1:12" x14ac:dyDescent="0.35">
      <c r="A234" s="2">
        <v>231</v>
      </c>
      <c r="B234" s="92"/>
      <c r="C234" s="92"/>
      <c r="D234" s="92"/>
      <c r="E234" s="85"/>
      <c r="F234" s="92"/>
      <c r="G234" s="85" t="str">
        <f t="shared" si="37"/>
        <v/>
      </c>
      <c r="H234" s="109">
        <f t="shared" si="36"/>
        <v>0</v>
      </c>
      <c r="I234" s="92"/>
      <c r="J234" s="92"/>
      <c r="K234" s="92"/>
      <c r="L234" s="48"/>
    </row>
    <row r="235" spans="1:12" x14ac:dyDescent="0.35">
      <c r="A235" s="2">
        <v>232</v>
      </c>
      <c r="B235" s="92"/>
      <c r="C235" s="92"/>
      <c r="D235" s="92"/>
      <c r="E235" s="85"/>
      <c r="F235" s="92"/>
      <c r="G235" s="85" t="str">
        <f t="shared" si="37"/>
        <v/>
      </c>
      <c r="H235" s="109">
        <f t="shared" si="36"/>
        <v>0</v>
      </c>
      <c r="I235" s="92"/>
      <c r="J235" s="92"/>
      <c r="K235" s="92"/>
      <c r="L235" s="48"/>
    </row>
    <row r="236" spans="1:12" x14ac:dyDescent="0.35">
      <c r="A236" s="2">
        <v>233</v>
      </c>
      <c r="B236" s="92"/>
      <c r="C236" s="92"/>
      <c r="D236" s="92"/>
      <c r="E236" s="85"/>
      <c r="F236" s="92"/>
      <c r="G236" s="85" t="str">
        <f t="shared" si="37"/>
        <v/>
      </c>
      <c r="H236" s="109">
        <f t="shared" si="36"/>
        <v>0</v>
      </c>
      <c r="I236" s="92"/>
      <c r="J236" s="92"/>
      <c r="K236" s="92"/>
      <c r="L236" s="48"/>
    </row>
    <row r="237" spans="1:12" x14ac:dyDescent="0.35">
      <c r="A237" s="2">
        <v>234</v>
      </c>
      <c r="B237" s="92"/>
      <c r="C237" s="92"/>
      <c r="D237" s="92"/>
      <c r="E237" s="85"/>
      <c r="F237" s="92"/>
      <c r="G237" s="85" t="str">
        <f t="shared" si="37"/>
        <v/>
      </c>
      <c r="H237" s="109">
        <f t="shared" si="36"/>
        <v>0</v>
      </c>
      <c r="I237" s="92"/>
      <c r="J237" s="92"/>
      <c r="K237" s="92"/>
      <c r="L237" s="48"/>
    </row>
    <row r="238" spans="1:12" x14ac:dyDescent="0.35">
      <c r="A238" s="2">
        <v>235</v>
      </c>
      <c r="B238" s="92"/>
      <c r="C238" s="92"/>
      <c r="D238" s="92"/>
      <c r="E238" s="85"/>
      <c r="F238" s="92"/>
      <c r="G238" s="85" t="str">
        <f t="shared" si="37"/>
        <v/>
      </c>
      <c r="H238" s="109">
        <f t="shared" si="36"/>
        <v>0</v>
      </c>
      <c r="I238" s="92"/>
      <c r="J238" s="92"/>
      <c r="K238" s="92"/>
      <c r="L238" s="48"/>
    </row>
    <row r="239" spans="1:12" x14ac:dyDescent="0.35">
      <c r="A239" s="2">
        <v>236</v>
      </c>
      <c r="B239" s="92"/>
      <c r="C239" s="92"/>
      <c r="D239" s="92"/>
      <c r="E239" s="85"/>
      <c r="F239" s="92"/>
      <c r="G239" s="85" t="str">
        <f t="shared" si="37"/>
        <v/>
      </c>
      <c r="H239" s="109">
        <f t="shared" si="36"/>
        <v>0</v>
      </c>
      <c r="I239" s="92"/>
      <c r="J239" s="92"/>
      <c r="K239" s="92"/>
      <c r="L239" s="48"/>
    </row>
    <row r="240" spans="1:12" x14ac:dyDescent="0.35">
      <c r="A240" s="2">
        <v>237</v>
      </c>
      <c r="B240" s="92"/>
      <c r="C240" s="92"/>
      <c r="D240" s="92"/>
      <c r="E240" s="85"/>
      <c r="F240" s="92"/>
      <c r="G240" s="85" t="str">
        <f t="shared" si="37"/>
        <v/>
      </c>
      <c r="H240" s="109">
        <f t="shared" si="36"/>
        <v>0</v>
      </c>
      <c r="I240" s="92"/>
      <c r="J240" s="92"/>
      <c r="K240" s="92"/>
      <c r="L240" s="48"/>
    </row>
    <row r="241" spans="1:12" x14ac:dyDescent="0.35">
      <c r="A241" s="2">
        <v>238</v>
      </c>
      <c r="B241" s="92"/>
      <c r="C241" s="92"/>
      <c r="D241" s="92"/>
      <c r="E241" s="85"/>
      <c r="F241" s="92"/>
      <c r="G241" s="85" t="str">
        <f t="shared" si="37"/>
        <v/>
      </c>
      <c r="H241" s="109">
        <f t="shared" si="36"/>
        <v>0</v>
      </c>
      <c r="I241" s="92"/>
      <c r="J241" s="92"/>
      <c r="K241" s="92"/>
      <c r="L241" s="48"/>
    </row>
    <row r="242" spans="1:12" x14ac:dyDescent="0.35">
      <c r="A242" s="2">
        <v>239</v>
      </c>
      <c r="B242" s="92"/>
      <c r="C242" s="92"/>
      <c r="D242" s="92"/>
      <c r="E242" s="85"/>
      <c r="F242" s="92"/>
      <c r="G242" s="85" t="str">
        <f t="shared" si="37"/>
        <v/>
      </c>
      <c r="H242" s="109">
        <f t="shared" si="36"/>
        <v>0</v>
      </c>
      <c r="I242" s="92"/>
      <c r="J242" s="92"/>
      <c r="K242" s="92"/>
      <c r="L242" s="48"/>
    </row>
    <row r="243" spans="1:12" x14ac:dyDescent="0.35">
      <c r="A243" s="2">
        <v>240</v>
      </c>
      <c r="B243" s="92"/>
      <c r="C243" s="92"/>
      <c r="D243" s="92"/>
      <c r="E243" s="85"/>
      <c r="F243" s="92"/>
      <c r="G243" s="85" t="str">
        <f t="shared" si="37"/>
        <v/>
      </c>
      <c r="H243" s="109">
        <f t="shared" si="36"/>
        <v>0</v>
      </c>
      <c r="I243" s="92"/>
      <c r="J243" s="92"/>
      <c r="K243" s="92"/>
      <c r="L243" s="48"/>
    </row>
    <row r="244" spans="1:12" x14ac:dyDescent="0.35">
      <c r="A244" s="2">
        <v>241</v>
      </c>
      <c r="B244" s="92"/>
      <c r="C244" s="92"/>
      <c r="D244" s="92"/>
      <c r="E244" s="85"/>
      <c r="F244" s="92"/>
      <c r="G244" s="85" t="str">
        <f t="shared" si="37"/>
        <v/>
      </c>
      <c r="H244" s="109">
        <f t="shared" si="36"/>
        <v>0</v>
      </c>
      <c r="I244" s="92"/>
      <c r="J244" s="92"/>
      <c r="K244" s="92"/>
      <c r="L244" s="48"/>
    </row>
    <row r="245" spans="1:12" x14ac:dyDescent="0.35">
      <c r="A245" s="2">
        <v>242</v>
      </c>
      <c r="B245" s="92"/>
      <c r="C245" s="92"/>
      <c r="D245" s="92"/>
      <c r="E245" s="85"/>
      <c r="F245" s="92"/>
      <c r="G245" s="85" t="str">
        <f t="shared" si="37"/>
        <v/>
      </c>
      <c r="H245" s="109">
        <f t="shared" si="36"/>
        <v>0</v>
      </c>
      <c r="I245" s="92"/>
      <c r="J245" s="92"/>
      <c r="K245" s="92"/>
      <c r="L245" s="48"/>
    </row>
    <row r="246" spans="1:12" x14ac:dyDescent="0.35">
      <c r="A246" s="2">
        <v>243</v>
      </c>
      <c r="B246" s="92"/>
      <c r="C246" s="92"/>
      <c r="D246" s="92"/>
      <c r="E246" s="85"/>
      <c r="F246" s="92"/>
      <c r="G246" s="85" t="str">
        <f t="shared" si="37"/>
        <v/>
      </c>
      <c r="H246" s="109">
        <f t="shared" si="36"/>
        <v>0</v>
      </c>
      <c r="I246" s="92"/>
      <c r="J246" s="92"/>
      <c r="K246" s="92"/>
      <c r="L246" s="48"/>
    </row>
    <row r="247" spans="1:12" x14ac:dyDescent="0.35">
      <c r="A247" s="2">
        <v>244</v>
      </c>
      <c r="B247" s="92"/>
      <c r="C247" s="92"/>
      <c r="D247" s="92"/>
      <c r="E247" s="85"/>
      <c r="F247" s="92"/>
      <c r="G247" s="85" t="str">
        <f t="shared" si="37"/>
        <v/>
      </c>
      <c r="H247" s="109">
        <f t="shared" si="36"/>
        <v>0</v>
      </c>
      <c r="I247" s="92"/>
      <c r="J247" s="92"/>
      <c r="K247" s="92"/>
      <c r="L247" s="48"/>
    </row>
    <row r="248" spans="1:12" x14ac:dyDescent="0.35">
      <c r="A248" s="2">
        <v>245</v>
      </c>
      <c r="B248" s="92"/>
      <c r="C248" s="92"/>
      <c r="D248" s="92"/>
      <c r="E248" s="85"/>
      <c r="F248" s="92"/>
      <c r="G248" s="85" t="str">
        <f t="shared" si="37"/>
        <v/>
      </c>
      <c r="H248" s="109">
        <f t="shared" si="36"/>
        <v>0</v>
      </c>
      <c r="I248" s="92"/>
      <c r="J248" s="92"/>
      <c r="K248" s="92"/>
      <c r="L248" s="48"/>
    </row>
    <row r="249" spans="1:12" x14ac:dyDescent="0.35">
      <c r="A249" s="2">
        <v>246</v>
      </c>
      <c r="B249" s="92"/>
      <c r="C249" s="92"/>
      <c r="D249" s="92"/>
      <c r="E249" s="85"/>
      <c r="F249" s="92"/>
      <c r="G249" s="85" t="str">
        <f t="shared" si="37"/>
        <v/>
      </c>
      <c r="H249" s="109">
        <f t="shared" si="36"/>
        <v>0</v>
      </c>
      <c r="I249" s="92"/>
      <c r="J249" s="92"/>
      <c r="K249" s="92"/>
      <c r="L249" s="48"/>
    </row>
    <row r="250" spans="1:12" x14ac:dyDescent="0.35">
      <c r="A250" s="2">
        <v>247</v>
      </c>
      <c r="B250" s="92"/>
      <c r="C250" s="92"/>
      <c r="D250" s="92"/>
      <c r="E250" s="85"/>
      <c r="F250" s="92"/>
      <c r="G250" s="85" t="str">
        <f t="shared" si="37"/>
        <v/>
      </c>
      <c r="H250" s="109">
        <f t="shared" si="36"/>
        <v>0</v>
      </c>
      <c r="I250" s="92"/>
      <c r="J250" s="92"/>
      <c r="K250" s="92"/>
      <c r="L250" s="48"/>
    </row>
    <row r="251" spans="1:12" x14ac:dyDescent="0.35">
      <c r="A251" s="2">
        <v>248</v>
      </c>
      <c r="B251" s="92"/>
      <c r="C251" s="92"/>
      <c r="D251" s="92"/>
      <c r="E251" s="85"/>
      <c r="F251" s="92"/>
      <c r="G251" s="85" t="str">
        <f t="shared" si="37"/>
        <v/>
      </c>
      <c r="H251" s="109">
        <f t="shared" si="36"/>
        <v>0</v>
      </c>
      <c r="I251" s="92"/>
      <c r="J251" s="92"/>
      <c r="K251" s="92"/>
      <c r="L251" s="48"/>
    </row>
    <row r="252" spans="1:12" x14ac:dyDescent="0.35">
      <c r="A252" s="2">
        <v>249</v>
      </c>
      <c r="B252" s="92"/>
      <c r="C252" s="92"/>
      <c r="D252" s="92"/>
      <c r="E252" s="85"/>
      <c r="F252" s="92"/>
      <c r="G252" s="85" t="str">
        <f t="shared" si="37"/>
        <v/>
      </c>
      <c r="H252" s="109">
        <f t="shared" si="36"/>
        <v>0</v>
      </c>
      <c r="I252" s="92"/>
      <c r="J252" s="92"/>
      <c r="K252" s="92"/>
      <c r="L252" s="48"/>
    </row>
    <row r="253" spans="1:12" x14ac:dyDescent="0.35">
      <c r="A253" s="2">
        <v>250</v>
      </c>
      <c r="B253" s="92"/>
      <c r="C253" s="92"/>
      <c r="D253" s="92"/>
      <c r="E253" s="85"/>
      <c r="F253" s="92"/>
      <c r="G253" s="85" t="str">
        <f t="shared" si="37"/>
        <v/>
      </c>
      <c r="H253" s="109">
        <f t="shared" si="36"/>
        <v>0</v>
      </c>
      <c r="I253" s="92"/>
      <c r="J253" s="92"/>
      <c r="K253" s="92"/>
      <c r="L253" s="48"/>
    </row>
    <row r="254" spans="1:12" x14ac:dyDescent="0.35">
      <c r="A254" s="2">
        <v>251</v>
      </c>
      <c r="B254" s="92"/>
      <c r="C254" s="92"/>
      <c r="D254" s="92"/>
      <c r="E254" s="85"/>
      <c r="F254" s="92"/>
      <c r="G254" s="85" t="str">
        <f t="shared" si="37"/>
        <v/>
      </c>
      <c r="H254" s="109">
        <f t="shared" si="36"/>
        <v>0</v>
      </c>
      <c r="I254" s="92"/>
      <c r="J254" s="92"/>
      <c r="K254" s="92"/>
      <c r="L254" s="48"/>
    </row>
    <row r="255" spans="1:12" x14ac:dyDescent="0.35">
      <c r="A255" s="2">
        <v>252</v>
      </c>
      <c r="B255" s="92"/>
      <c r="C255" s="92"/>
      <c r="D255" s="92"/>
      <c r="E255" s="85"/>
      <c r="F255" s="92"/>
      <c r="G255" s="85" t="str">
        <f t="shared" si="37"/>
        <v/>
      </c>
      <c r="H255" s="109">
        <f t="shared" si="36"/>
        <v>0</v>
      </c>
      <c r="I255" s="92"/>
      <c r="J255" s="92"/>
      <c r="K255" s="92"/>
      <c r="L255" s="48"/>
    </row>
    <row r="256" spans="1:12" x14ac:dyDescent="0.35">
      <c r="A256" s="2">
        <v>253</v>
      </c>
      <c r="B256" s="92"/>
      <c r="C256" s="92"/>
      <c r="D256" s="92"/>
      <c r="E256" s="85"/>
      <c r="F256" s="92"/>
      <c r="G256" s="85" t="str">
        <f t="shared" si="37"/>
        <v/>
      </c>
      <c r="H256" s="109">
        <f t="shared" si="36"/>
        <v>0</v>
      </c>
      <c r="I256" s="92"/>
      <c r="J256" s="92"/>
      <c r="K256" s="92"/>
      <c r="L256" s="48"/>
    </row>
    <row r="257" spans="1:12" x14ac:dyDescent="0.35">
      <c r="A257" s="2">
        <v>254</v>
      </c>
      <c r="B257" s="92"/>
      <c r="C257" s="92"/>
      <c r="D257" s="92"/>
      <c r="E257" s="85"/>
      <c r="F257" s="92"/>
      <c r="G257" s="85" t="str">
        <f t="shared" si="37"/>
        <v/>
      </c>
      <c r="H257" s="109">
        <f t="shared" si="36"/>
        <v>0</v>
      </c>
      <c r="I257" s="92"/>
      <c r="J257" s="92"/>
      <c r="K257" s="92"/>
      <c r="L257" s="48"/>
    </row>
    <row r="258" spans="1:12" x14ac:dyDescent="0.35">
      <c r="A258" s="2">
        <v>255</v>
      </c>
      <c r="B258" s="92"/>
      <c r="C258" s="92"/>
      <c r="D258" s="92"/>
      <c r="E258" s="85"/>
      <c r="F258" s="92"/>
      <c r="G258" s="85" t="str">
        <f t="shared" si="37"/>
        <v/>
      </c>
      <c r="H258" s="109">
        <f t="shared" si="36"/>
        <v>0</v>
      </c>
      <c r="I258" s="92"/>
      <c r="J258" s="92"/>
      <c r="K258" s="92"/>
      <c r="L258" s="48"/>
    </row>
    <row r="259" spans="1:12" x14ac:dyDescent="0.35">
      <c r="A259" s="2">
        <v>256</v>
      </c>
      <c r="B259" s="92"/>
      <c r="C259" s="92"/>
      <c r="D259" s="92"/>
      <c r="E259" s="85"/>
      <c r="F259" s="92"/>
      <c r="G259" s="85" t="str">
        <f t="shared" si="37"/>
        <v/>
      </c>
      <c r="H259" s="109">
        <f t="shared" si="36"/>
        <v>0</v>
      </c>
      <c r="I259" s="92"/>
      <c r="J259" s="92"/>
      <c r="K259" s="92"/>
      <c r="L259" s="48"/>
    </row>
    <row r="260" spans="1:12" x14ac:dyDescent="0.35">
      <c r="A260" s="2">
        <v>257</v>
      </c>
      <c r="B260" s="92"/>
      <c r="C260" s="92"/>
      <c r="D260" s="92"/>
      <c r="E260" s="85"/>
      <c r="F260" s="92"/>
      <c r="G260" s="85" t="str">
        <f t="shared" si="37"/>
        <v/>
      </c>
      <c r="H260" s="109">
        <f t="shared" si="36"/>
        <v>0</v>
      </c>
      <c r="I260" s="92"/>
      <c r="J260" s="92"/>
      <c r="K260" s="92"/>
      <c r="L260" s="48"/>
    </row>
    <row r="261" spans="1:12" x14ac:dyDescent="0.35">
      <c r="A261" s="2">
        <v>258</v>
      </c>
      <c r="B261" s="92"/>
      <c r="C261" s="92"/>
      <c r="D261" s="92"/>
      <c r="E261" s="85"/>
      <c r="F261" s="92"/>
      <c r="G261" s="85" t="str">
        <f t="shared" si="37"/>
        <v/>
      </c>
      <c r="H261" s="109">
        <f t="shared" si="36"/>
        <v>0</v>
      </c>
      <c r="I261" s="92"/>
      <c r="J261" s="92"/>
      <c r="K261" s="92"/>
      <c r="L261" s="48"/>
    </row>
    <row r="262" spans="1:12" x14ac:dyDescent="0.35">
      <c r="A262" s="2">
        <v>259</v>
      </c>
      <c r="B262" s="92"/>
      <c r="C262" s="92"/>
      <c r="D262" s="92"/>
      <c r="E262" s="85"/>
      <c r="F262" s="92"/>
      <c r="G262" s="85" t="str">
        <f t="shared" si="37"/>
        <v/>
      </c>
      <c r="H262" s="109">
        <f t="shared" ref="H262:H273" si="38">I262/8</f>
        <v>0</v>
      </c>
      <c r="I262" s="92"/>
      <c r="J262" s="92"/>
      <c r="K262" s="92"/>
      <c r="L262" s="48"/>
    </row>
    <row r="263" spans="1:12" x14ac:dyDescent="0.35">
      <c r="A263" s="2">
        <v>260</v>
      </c>
      <c r="B263" s="92"/>
      <c r="C263" s="92"/>
      <c r="D263" s="92"/>
      <c r="E263" s="85"/>
      <c r="F263" s="92"/>
      <c r="G263" s="85" t="str">
        <f t="shared" si="37"/>
        <v/>
      </c>
      <c r="H263" s="109">
        <f t="shared" si="38"/>
        <v>0</v>
      </c>
      <c r="I263" s="92"/>
      <c r="J263" s="92"/>
      <c r="K263" s="92"/>
      <c r="L263" s="48"/>
    </row>
    <row r="264" spans="1:12" x14ac:dyDescent="0.35">
      <c r="A264" s="2">
        <v>261</v>
      </c>
      <c r="B264" s="92"/>
      <c r="C264" s="92"/>
      <c r="D264" s="92"/>
      <c r="E264" s="85"/>
      <c r="F264" s="92"/>
      <c r="G264" s="85" t="str">
        <f t="shared" si="37"/>
        <v/>
      </c>
      <c r="H264" s="109">
        <f t="shared" si="38"/>
        <v>0</v>
      </c>
      <c r="I264" s="92"/>
      <c r="J264" s="92"/>
      <c r="K264" s="92"/>
      <c r="L264" s="48"/>
    </row>
    <row r="265" spans="1:12" x14ac:dyDescent="0.35">
      <c r="A265" s="2">
        <v>262</v>
      </c>
      <c r="B265" s="92"/>
      <c r="C265" s="92"/>
      <c r="D265" s="92"/>
      <c r="E265" s="85"/>
      <c r="F265" s="92"/>
      <c r="G265" s="85" t="str">
        <f t="shared" si="37"/>
        <v/>
      </c>
      <c r="H265" s="109">
        <f t="shared" si="38"/>
        <v>0</v>
      </c>
      <c r="I265" s="92"/>
      <c r="J265" s="92"/>
      <c r="K265" s="92"/>
      <c r="L265" s="48"/>
    </row>
    <row r="266" spans="1:12" x14ac:dyDescent="0.35">
      <c r="A266" s="2">
        <v>263</v>
      </c>
      <c r="B266" s="92"/>
      <c r="C266" s="92"/>
      <c r="D266" s="92"/>
      <c r="E266" s="85"/>
      <c r="F266" s="92"/>
      <c r="G266" s="85" t="str">
        <f t="shared" si="37"/>
        <v/>
      </c>
      <c r="H266" s="109">
        <f t="shared" si="38"/>
        <v>0</v>
      </c>
      <c r="I266" s="92"/>
      <c r="J266" s="92"/>
      <c r="K266" s="92"/>
      <c r="L266" s="48"/>
    </row>
    <row r="267" spans="1:12" x14ac:dyDescent="0.35">
      <c r="A267" s="2">
        <v>264</v>
      </c>
      <c r="B267" s="92"/>
      <c r="C267" s="92"/>
      <c r="D267" s="92"/>
      <c r="E267" s="85"/>
      <c r="F267" s="92"/>
      <c r="G267" s="85" t="str">
        <f t="shared" si="37"/>
        <v/>
      </c>
      <c r="H267" s="109">
        <f t="shared" si="38"/>
        <v>0</v>
      </c>
      <c r="I267" s="92"/>
      <c r="J267" s="92"/>
      <c r="K267" s="92"/>
      <c r="L267" s="48"/>
    </row>
    <row r="268" spans="1:12" x14ac:dyDescent="0.35">
      <c r="A268" s="2">
        <v>265</v>
      </c>
      <c r="B268" s="92"/>
      <c r="C268" s="92"/>
      <c r="D268" s="92"/>
      <c r="E268" s="85"/>
      <c r="F268" s="92"/>
      <c r="G268" s="85" t="str">
        <f t="shared" si="37"/>
        <v/>
      </c>
      <c r="H268" s="109">
        <f t="shared" si="38"/>
        <v>0</v>
      </c>
      <c r="I268" s="92"/>
      <c r="J268" s="92"/>
      <c r="K268" s="92"/>
      <c r="L268" s="48"/>
    </row>
    <row r="269" spans="1:12" x14ac:dyDescent="0.35">
      <c r="A269" s="2">
        <v>266</v>
      </c>
      <c r="B269" s="92"/>
      <c r="C269" s="92"/>
      <c r="D269" s="92"/>
      <c r="E269" s="85"/>
      <c r="F269" s="92"/>
      <c r="G269" s="85" t="str">
        <f t="shared" si="37"/>
        <v/>
      </c>
      <c r="H269" s="109">
        <f t="shared" si="38"/>
        <v>0</v>
      </c>
      <c r="I269" s="92"/>
      <c r="J269" s="92"/>
      <c r="K269" s="92"/>
      <c r="L269" s="48"/>
    </row>
    <row r="270" spans="1:12" x14ac:dyDescent="0.35">
      <c r="A270" s="2">
        <v>267</v>
      </c>
      <c r="B270" s="92"/>
      <c r="C270" s="92"/>
      <c r="D270" s="92"/>
      <c r="E270" s="85"/>
      <c r="F270" s="92"/>
      <c r="G270" s="85" t="str">
        <f t="shared" si="37"/>
        <v/>
      </c>
      <c r="H270" s="109">
        <f t="shared" si="38"/>
        <v>0</v>
      </c>
      <c r="I270" s="92"/>
      <c r="J270" s="92"/>
      <c r="K270" s="92"/>
      <c r="L270" s="48"/>
    </row>
    <row r="271" spans="1:12" x14ac:dyDescent="0.35">
      <c r="A271" s="2">
        <v>268</v>
      </c>
      <c r="B271" s="92"/>
      <c r="C271" s="92"/>
      <c r="D271" s="92"/>
      <c r="E271" s="85"/>
      <c r="F271" s="92"/>
      <c r="G271" s="85" t="str">
        <f t="shared" si="37"/>
        <v/>
      </c>
      <c r="H271" s="109">
        <f t="shared" si="38"/>
        <v>0</v>
      </c>
      <c r="I271" s="92"/>
      <c r="J271" s="92"/>
      <c r="K271" s="92"/>
      <c r="L271" s="48"/>
    </row>
    <row r="272" spans="1:12" x14ac:dyDescent="0.35">
      <c r="A272" s="2">
        <v>269</v>
      </c>
      <c r="B272" s="92"/>
      <c r="C272" s="92"/>
      <c r="D272" s="92"/>
      <c r="E272" s="85"/>
      <c r="F272" s="92"/>
      <c r="G272" s="85" t="str">
        <f t="shared" si="37"/>
        <v/>
      </c>
      <c r="H272" s="109">
        <f t="shared" si="38"/>
        <v>0</v>
      </c>
      <c r="I272" s="92"/>
      <c r="J272" s="92"/>
      <c r="K272" s="92"/>
      <c r="L272" s="48"/>
    </row>
    <row r="273" spans="1:12" x14ac:dyDescent="0.35">
      <c r="A273" s="2">
        <v>270</v>
      </c>
      <c r="B273" s="92"/>
      <c r="C273" s="92"/>
      <c r="D273" s="92"/>
      <c r="E273" s="85"/>
      <c r="F273" s="92"/>
      <c r="G273" s="85" t="str">
        <f t="shared" si="37"/>
        <v/>
      </c>
      <c r="H273" s="109">
        <f t="shared" si="38"/>
        <v>0</v>
      </c>
      <c r="I273" s="92"/>
      <c r="J273" s="92"/>
      <c r="K273" s="92"/>
      <c r="L273" s="48"/>
    </row>
    <row r="274" spans="1:12" x14ac:dyDescent="0.35">
      <c r="A274" s="2">
        <v>271</v>
      </c>
      <c r="B274" s="92"/>
      <c r="C274" s="92"/>
      <c r="D274" s="92"/>
      <c r="E274" s="85"/>
      <c r="F274" s="92"/>
      <c r="G274" s="85" t="str">
        <f t="shared" si="37"/>
        <v/>
      </c>
      <c r="H274" s="109">
        <f t="shared" ref="H274:H311" si="39">I274/8</f>
        <v>0</v>
      </c>
      <c r="I274" s="92"/>
      <c r="J274" s="92"/>
      <c r="K274" s="92"/>
      <c r="L274" s="48"/>
    </row>
    <row r="275" spans="1:12" x14ac:dyDescent="0.35">
      <c r="A275" s="2">
        <v>272</v>
      </c>
      <c r="B275" s="92"/>
      <c r="C275" s="92"/>
      <c r="D275" s="92"/>
      <c r="E275" s="85"/>
      <c r="F275" s="92"/>
      <c r="G275" s="85" t="str">
        <f t="shared" si="37"/>
        <v/>
      </c>
      <c r="H275" s="109">
        <f t="shared" si="39"/>
        <v>0</v>
      </c>
      <c r="I275" s="92"/>
      <c r="J275" s="92"/>
      <c r="K275" s="92"/>
      <c r="L275" s="48"/>
    </row>
    <row r="276" spans="1:12" x14ac:dyDescent="0.35">
      <c r="A276" s="2">
        <v>273</v>
      </c>
      <c r="B276" s="92"/>
      <c r="C276" s="92"/>
      <c r="D276" s="92"/>
      <c r="E276" s="85"/>
      <c r="F276" s="92"/>
      <c r="G276" s="85" t="str">
        <f t="shared" si="37"/>
        <v/>
      </c>
      <c r="H276" s="109">
        <f t="shared" si="39"/>
        <v>0</v>
      </c>
      <c r="I276" s="92"/>
      <c r="J276" s="92"/>
      <c r="K276" s="92"/>
      <c r="L276" s="48"/>
    </row>
    <row r="277" spans="1:12" x14ac:dyDescent="0.35">
      <c r="A277" s="2">
        <v>274</v>
      </c>
      <c r="B277" s="92"/>
      <c r="C277" s="92"/>
      <c r="D277" s="92"/>
      <c r="E277" s="85"/>
      <c r="F277" s="92"/>
      <c r="G277" s="85" t="str">
        <f t="shared" si="37"/>
        <v/>
      </c>
      <c r="H277" s="109">
        <f t="shared" si="39"/>
        <v>0</v>
      </c>
      <c r="I277" s="92"/>
      <c r="J277" s="92"/>
      <c r="K277" s="92"/>
      <c r="L277" s="48"/>
    </row>
    <row r="278" spans="1:12" x14ac:dyDescent="0.35">
      <c r="A278" s="2">
        <v>275</v>
      </c>
      <c r="B278" s="92"/>
      <c r="C278" s="92"/>
      <c r="D278" s="92"/>
      <c r="E278" s="85"/>
      <c r="F278" s="92"/>
      <c r="G278" s="85" t="str">
        <f t="shared" si="37"/>
        <v/>
      </c>
      <c r="H278" s="109">
        <f t="shared" si="39"/>
        <v>0</v>
      </c>
      <c r="I278" s="92"/>
      <c r="J278" s="92"/>
      <c r="K278" s="92"/>
      <c r="L278" s="48"/>
    </row>
    <row r="279" spans="1:12" x14ac:dyDescent="0.35">
      <c r="A279" s="2">
        <v>276</v>
      </c>
      <c r="B279" s="92"/>
      <c r="C279" s="92"/>
      <c r="D279" s="92"/>
      <c r="E279" s="85"/>
      <c r="F279" s="92"/>
      <c r="G279" s="85" t="str">
        <f t="shared" si="37"/>
        <v/>
      </c>
      <c r="H279" s="109">
        <f t="shared" si="39"/>
        <v>0</v>
      </c>
      <c r="I279" s="92"/>
      <c r="J279" s="92"/>
      <c r="K279" s="92"/>
      <c r="L279" s="48"/>
    </row>
    <row r="280" spans="1:12" x14ac:dyDescent="0.35">
      <c r="A280" s="2">
        <v>277</v>
      </c>
      <c r="B280" s="92"/>
      <c r="C280" s="92"/>
      <c r="D280" s="92"/>
      <c r="E280" s="85"/>
      <c r="F280" s="92"/>
      <c r="G280" s="85" t="str">
        <f t="shared" si="37"/>
        <v/>
      </c>
      <c r="H280" s="109">
        <f t="shared" si="39"/>
        <v>0</v>
      </c>
      <c r="I280" s="92"/>
      <c r="J280" s="92"/>
      <c r="K280" s="92"/>
      <c r="L280" s="48"/>
    </row>
    <row r="281" spans="1:12" x14ac:dyDescent="0.35">
      <c r="A281" s="2">
        <v>278</v>
      </c>
      <c r="B281" s="92"/>
      <c r="C281" s="92"/>
      <c r="D281" s="92"/>
      <c r="E281" s="85"/>
      <c r="F281" s="92"/>
      <c r="G281" s="85" t="str">
        <f t="shared" si="37"/>
        <v/>
      </c>
      <c r="H281" s="109">
        <f t="shared" si="39"/>
        <v>0</v>
      </c>
      <c r="I281" s="92"/>
      <c r="J281" s="92"/>
      <c r="K281" s="92"/>
      <c r="L281" s="48"/>
    </row>
    <row r="282" spans="1:12" x14ac:dyDescent="0.35">
      <c r="A282" s="2">
        <v>279</v>
      </c>
      <c r="B282" s="92"/>
      <c r="C282" s="92"/>
      <c r="D282" s="92"/>
      <c r="E282" s="85"/>
      <c r="F282" s="92"/>
      <c r="G282" s="85" t="str">
        <f t="shared" si="37"/>
        <v/>
      </c>
      <c r="H282" s="109">
        <f t="shared" si="39"/>
        <v>0</v>
      </c>
      <c r="I282" s="92"/>
      <c r="J282" s="92"/>
      <c r="K282" s="92"/>
      <c r="L282" s="48"/>
    </row>
    <row r="283" spans="1:12" x14ac:dyDescent="0.35">
      <c r="A283" s="2">
        <v>280</v>
      </c>
      <c r="B283" s="92"/>
      <c r="C283" s="92"/>
      <c r="D283" s="92"/>
      <c r="E283" s="85"/>
      <c r="F283" s="92"/>
      <c r="G283" s="85" t="str">
        <f t="shared" si="37"/>
        <v/>
      </c>
      <c r="H283" s="109">
        <f t="shared" si="39"/>
        <v>0</v>
      </c>
      <c r="I283" s="92"/>
      <c r="J283" s="92"/>
      <c r="K283" s="92"/>
      <c r="L283" s="48"/>
    </row>
    <row r="284" spans="1:12" x14ac:dyDescent="0.35">
      <c r="A284" s="2">
        <v>281</v>
      </c>
      <c r="B284" s="92"/>
      <c r="C284" s="92"/>
      <c r="D284" s="92"/>
      <c r="E284" s="85"/>
      <c r="F284" s="92"/>
      <c r="G284" s="85" t="str">
        <f t="shared" si="37"/>
        <v/>
      </c>
      <c r="H284" s="109">
        <f t="shared" si="39"/>
        <v>0</v>
      </c>
      <c r="I284" s="92"/>
      <c r="J284" s="92"/>
      <c r="K284" s="92"/>
      <c r="L284" s="48"/>
    </row>
    <row r="285" spans="1:12" x14ac:dyDescent="0.35">
      <c r="A285" s="2">
        <v>282</v>
      </c>
      <c r="B285" s="92"/>
      <c r="C285" s="92"/>
      <c r="D285" s="92"/>
      <c r="E285" s="85"/>
      <c r="F285" s="92"/>
      <c r="G285" s="85" t="str">
        <f t="shared" si="37"/>
        <v/>
      </c>
      <c r="H285" s="109">
        <f t="shared" si="39"/>
        <v>0</v>
      </c>
      <c r="I285" s="92"/>
      <c r="J285" s="92"/>
      <c r="K285" s="92"/>
      <c r="L285" s="48"/>
    </row>
    <row r="286" spans="1:12" x14ac:dyDescent="0.35">
      <c r="A286" s="2">
        <v>283</v>
      </c>
      <c r="B286" s="92"/>
      <c r="C286" s="92"/>
      <c r="D286" s="92"/>
      <c r="E286" s="85"/>
      <c r="F286" s="92"/>
      <c r="G286" s="85" t="str">
        <f t="shared" si="37"/>
        <v/>
      </c>
      <c r="H286" s="109">
        <f t="shared" si="39"/>
        <v>0</v>
      </c>
      <c r="I286" s="92"/>
      <c r="J286" s="92"/>
      <c r="K286" s="92"/>
      <c r="L286" s="48"/>
    </row>
    <row r="287" spans="1:12" x14ac:dyDescent="0.35">
      <c r="A287" s="2">
        <v>284</v>
      </c>
      <c r="B287" s="92"/>
      <c r="C287" s="92"/>
      <c r="D287" s="92"/>
      <c r="E287" s="85"/>
      <c r="F287" s="92"/>
      <c r="G287" s="85" t="str">
        <f t="shared" si="37"/>
        <v/>
      </c>
      <c r="H287" s="109">
        <f t="shared" si="39"/>
        <v>0</v>
      </c>
      <c r="I287" s="92"/>
      <c r="J287" s="92"/>
      <c r="K287" s="92"/>
      <c r="L287" s="48"/>
    </row>
    <row r="288" spans="1:12" x14ac:dyDescent="0.35">
      <c r="A288" s="2">
        <v>285</v>
      </c>
      <c r="B288" s="92"/>
      <c r="C288" s="92"/>
      <c r="D288" s="92"/>
      <c r="E288" s="85"/>
      <c r="F288" s="92"/>
      <c r="G288" s="85" t="str">
        <f t="shared" si="37"/>
        <v/>
      </c>
      <c r="H288" s="109">
        <f t="shared" si="39"/>
        <v>0</v>
      </c>
      <c r="I288" s="92"/>
      <c r="J288" s="92"/>
      <c r="K288" s="92"/>
      <c r="L288" s="48"/>
    </row>
    <row r="289" spans="1:12" x14ac:dyDescent="0.35">
      <c r="A289" s="2">
        <v>286</v>
      </c>
      <c r="B289" s="92"/>
      <c r="C289" s="92"/>
      <c r="D289" s="92"/>
      <c r="E289" s="85"/>
      <c r="F289" s="92"/>
      <c r="G289" s="85" t="str">
        <f t="shared" ref="G289:G330" si="40">CONCATENATE(B289,C289,D289,E289,F289)</f>
        <v/>
      </c>
      <c r="H289" s="109">
        <f t="shared" si="39"/>
        <v>0</v>
      </c>
      <c r="I289" s="92"/>
      <c r="J289" s="92"/>
      <c r="K289" s="92"/>
      <c r="L289" s="48"/>
    </row>
    <row r="290" spans="1:12" x14ac:dyDescent="0.35">
      <c r="A290" s="2">
        <v>287</v>
      </c>
      <c r="B290" s="92"/>
      <c r="C290" s="92"/>
      <c r="D290" s="92"/>
      <c r="E290" s="85"/>
      <c r="F290" s="92"/>
      <c r="G290" s="85" t="str">
        <f t="shared" si="40"/>
        <v/>
      </c>
      <c r="H290" s="109">
        <f t="shared" si="39"/>
        <v>0</v>
      </c>
      <c r="I290" s="92"/>
      <c r="J290" s="92"/>
      <c r="K290" s="92"/>
      <c r="L290" s="48"/>
    </row>
    <row r="291" spans="1:12" x14ac:dyDescent="0.35">
      <c r="A291" s="2">
        <v>288</v>
      </c>
      <c r="B291" s="92"/>
      <c r="C291" s="92"/>
      <c r="D291" s="92"/>
      <c r="E291" s="85"/>
      <c r="F291" s="92"/>
      <c r="G291" s="85" t="str">
        <f t="shared" si="40"/>
        <v/>
      </c>
      <c r="H291" s="109">
        <f t="shared" si="39"/>
        <v>0</v>
      </c>
      <c r="I291" s="92"/>
      <c r="J291" s="92"/>
      <c r="K291" s="92"/>
      <c r="L291" s="48"/>
    </row>
    <row r="292" spans="1:12" x14ac:dyDescent="0.35">
      <c r="A292" s="2">
        <v>289</v>
      </c>
      <c r="B292" s="92"/>
      <c r="C292" s="92"/>
      <c r="D292" s="92"/>
      <c r="E292" s="85"/>
      <c r="F292" s="92"/>
      <c r="G292" s="85" t="str">
        <f t="shared" si="40"/>
        <v/>
      </c>
      <c r="H292" s="109">
        <f t="shared" si="39"/>
        <v>0</v>
      </c>
      <c r="I292" s="92"/>
      <c r="J292" s="92"/>
      <c r="K292" s="92"/>
      <c r="L292" s="48"/>
    </row>
    <row r="293" spans="1:12" x14ac:dyDescent="0.35">
      <c r="A293" s="2">
        <v>290</v>
      </c>
      <c r="B293" s="92"/>
      <c r="C293" s="92"/>
      <c r="D293" s="92"/>
      <c r="E293" s="85"/>
      <c r="F293" s="92"/>
      <c r="G293" s="85" t="str">
        <f t="shared" si="40"/>
        <v/>
      </c>
      <c r="H293" s="109">
        <f t="shared" si="39"/>
        <v>0</v>
      </c>
      <c r="I293" s="92"/>
      <c r="J293" s="92"/>
      <c r="K293" s="92"/>
      <c r="L293" s="48"/>
    </row>
    <row r="294" spans="1:12" x14ac:dyDescent="0.35">
      <c r="A294" s="2">
        <v>291</v>
      </c>
      <c r="B294" s="92"/>
      <c r="C294" s="92"/>
      <c r="D294" s="92"/>
      <c r="E294" s="85"/>
      <c r="F294" s="92"/>
      <c r="G294" s="85" t="str">
        <f t="shared" si="40"/>
        <v/>
      </c>
      <c r="H294" s="109">
        <f t="shared" si="39"/>
        <v>0</v>
      </c>
      <c r="I294" s="92"/>
      <c r="J294" s="92"/>
      <c r="K294" s="92"/>
      <c r="L294" s="48"/>
    </row>
    <row r="295" spans="1:12" x14ac:dyDescent="0.35">
      <c r="A295" s="2">
        <v>292</v>
      </c>
      <c r="B295" s="92"/>
      <c r="C295" s="92"/>
      <c r="D295" s="92"/>
      <c r="E295" s="85"/>
      <c r="F295" s="92"/>
      <c r="G295" s="85" t="str">
        <f t="shared" si="40"/>
        <v/>
      </c>
      <c r="H295" s="109">
        <f t="shared" si="39"/>
        <v>0</v>
      </c>
      <c r="I295" s="92"/>
      <c r="J295" s="92"/>
      <c r="K295" s="92"/>
      <c r="L295" s="48"/>
    </row>
    <row r="296" spans="1:12" x14ac:dyDescent="0.35">
      <c r="A296" s="2">
        <v>293</v>
      </c>
      <c r="B296" s="92"/>
      <c r="C296" s="92"/>
      <c r="D296" s="92"/>
      <c r="E296" s="85"/>
      <c r="F296" s="92"/>
      <c r="G296" s="85" t="str">
        <f t="shared" si="40"/>
        <v/>
      </c>
      <c r="H296" s="109">
        <f t="shared" si="39"/>
        <v>0</v>
      </c>
      <c r="I296" s="92"/>
      <c r="J296" s="92"/>
      <c r="K296" s="92"/>
      <c r="L296" s="48"/>
    </row>
    <row r="297" spans="1:12" x14ac:dyDescent="0.35">
      <c r="A297" s="2">
        <v>294</v>
      </c>
      <c r="B297" s="92"/>
      <c r="C297" s="92"/>
      <c r="D297" s="92"/>
      <c r="E297" s="85"/>
      <c r="F297" s="92"/>
      <c r="G297" s="85" t="str">
        <f t="shared" si="40"/>
        <v/>
      </c>
      <c r="H297" s="109">
        <f t="shared" si="39"/>
        <v>0</v>
      </c>
      <c r="I297" s="92"/>
      <c r="J297" s="92"/>
      <c r="K297" s="92"/>
      <c r="L297" s="48"/>
    </row>
    <row r="298" spans="1:12" x14ac:dyDescent="0.35">
      <c r="A298" s="2">
        <v>295</v>
      </c>
      <c r="B298" s="92"/>
      <c r="C298" s="92"/>
      <c r="D298" s="92"/>
      <c r="E298" s="85"/>
      <c r="F298" s="92"/>
      <c r="G298" s="85" t="str">
        <f t="shared" si="40"/>
        <v/>
      </c>
      <c r="H298" s="109">
        <f t="shared" si="39"/>
        <v>0</v>
      </c>
      <c r="I298" s="92"/>
      <c r="J298" s="92"/>
      <c r="K298" s="92"/>
      <c r="L298" s="48"/>
    </row>
    <row r="299" spans="1:12" x14ac:dyDescent="0.35">
      <c r="A299" s="2">
        <v>296</v>
      </c>
      <c r="B299" s="92"/>
      <c r="C299" s="92"/>
      <c r="D299" s="92"/>
      <c r="E299" s="85"/>
      <c r="F299" s="92"/>
      <c r="G299" s="85" t="str">
        <f t="shared" si="40"/>
        <v/>
      </c>
      <c r="H299" s="109">
        <f t="shared" si="39"/>
        <v>0</v>
      </c>
      <c r="I299" s="92"/>
      <c r="J299" s="92"/>
      <c r="K299" s="92"/>
      <c r="L299" s="48"/>
    </row>
    <row r="300" spans="1:12" x14ac:dyDescent="0.35">
      <c r="A300" s="2">
        <v>297</v>
      </c>
      <c r="B300" s="92"/>
      <c r="C300" s="92"/>
      <c r="D300" s="92"/>
      <c r="E300" s="85"/>
      <c r="F300" s="92"/>
      <c r="G300" s="85" t="str">
        <f t="shared" si="40"/>
        <v/>
      </c>
      <c r="H300" s="109">
        <f t="shared" si="39"/>
        <v>0</v>
      </c>
      <c r="I300" s="92"/>
      <c r="J300" s="92"/>
      <c r="K300" s="92"/>
      <c r="L300" s="48"/>
    </row>
    <row r="301" spans="1:12" x14ac:dyDescent="0.35">
      <c r="A301" s="2">
        <v>298</v>
      </c>
      <c r="B301" s="92"/>
      <c r="C301" s="92"/>
      <c r="D301" s="92"/>
      <c r="E301" s="85"/>
      <c r="F301" s="92"/>
      <c r="G301" s="85" t="str">
        <f t="shared" si="40"/>
        <v/>
      </c>
      <c r="H301" s="109">
        <f t="shared" si="39"/>
        <v>0</v>
      </c>
      <c r="I301" s="92"/>
      <c r="J301" s="92"/>
      <c r="K301" s="92"/>
      <c r="L301" s="48"/>
    </row>
    <row r="302" spans="1:12" x14ac:dyDescent="0.35">
      <c r="A302" s="2">
        <v>299</v>
      </c>
      <c r="B302" s="92"/>
      <c r="C302" s="92"/>
      <c r="D302" s="92"/>
      <c r="E302" s="85"/>
      <c r="F302" s="92"/>
      <c r="G302" s="85" t="str">
        <f t="shared" si="40"/>
        <v/>
      </c>
      <c r="H302" s="109">
        <f t="shared" si="39"/>
        <v>0</v>
      </c>
      <c r="I302" s="92"/>
      <c r="J302" s="92"/>
      <c r="K302" s="92"/>
      <c r="L302" s="48"/>
    </row>
    <row r="303" spans="1:12" x14ac:dyDescent="0.35">
      <c r="A303" s="2">
        <v>300</v>
      </c>
      <c r="B303" s="92"/>
      <c r="C303" s="92"/>
      <c r="D303" s="92"/>
      <c r="E303" s="85"/>
      <c r="F303" s="92"/>
      <c r="G303" s="85" t="str">
        <f t="shared" si="40"/>
        <v/>
      </c>
      <c r="H303" s="109">
        <f t="shared" si="39"/>
        <v>0</v>
      </c>
      <c r="I303" s="92"/>
      <c r="J303" s="92"/>
      <c r="K303" s="92"/>
      <c r="L303" s="48"/>
    </row>
    <row r="304" spans="1:12" x14ac:dyDescent="0.35">
      <c r="A304" s="2">
        <v>301</v>
      </c>
      <c r="B304" s="92"/>
      <c r="C304" s="92"/>
      <c r="D304" s="92"/>
      <c r="E304" s="85"/>
      <c r="F304" s="92"/>
      <c r="G304" s="85" t="str">
        <f t="shared" si="40"/>
        <v/>
      </c>
      <c r="H304" s="109">
        <f t="shared" si="39"/>
        <v>0</v>
      </c>
      <c r="I304" s="92"/>
      <c r="J304" s="92"/>
      <c r="K304" s="92"/>
      <c r="L304" s="48"/>
    </row>
    <row r="305" spans="1:12" x14ac:dyDescent="0.35">
      <c r="A305" s="2">
        <v>302</v>
      </c>
      <c r="B305" s="92"/>
      <c r="C305" s="92"/>
      <c r="D305" s="92"/>
      <c r="E305" s="85"/>
      <c r="F305" s="92"/>
      <c r="G305" s="85" t="str">
        <f t="shared" si="40"/>
        <v/>
      </c>
      <c r="H305" s="109">
        <f t="shared" si="39"/>
        <v>0</v>
      </c>
      <c r="I305" s="92"/>
      <c r="J305" s="92"/>
      <c r="K305" s="92"/>
      <c r="L305" s="48"/>
    </row>
    <row r="306" spans="1:12" x14ac:dyDescent="0.35">
      <c r="A306" s="2">
        <v>303</v>
      </c>
      <c r="B306" s="92"/>
      <c r="C306" s="92"/>
      <c r="D306" s="92"/>
      <c r="E306" s="85"/>
      <c r="F306" s="92"/>
      <c r="G306" s="85" t="str">
        <f t="shared" si="40"/>
        <v/>
      </c>
      <c r="H306" s="109">
        <f t="shared" si="39"/>
        <v>0</v>
      </c>
      <c r="I306" s="92"/>
      <c r="J306" s="92"/>
      <c r="K306" s="92"/>
      <c r="L306" s="48"/>
    </row>
    <row r="307" spans="1:12" x14ac:dyDescent="0.35">
      <c r="A307" s="2">
        <v>304</v>
      </c>
      <c r="B307" s="92"/>
      <c r="C307" s="92"/>
      <c r="D307" s="92"/>
      <c r="E307" s="85"/>
      <c r="F307" s="92"/>
      <c r="G307" s="85" t="str">
        <f t="shared" si="40"/>
        <v/>
      </c>
      <c r="H307" s="109">
        <f t="shared" si="39"/>
        <v>0</v>
      </c>
      <c r="I307" s="92"/>
      <c r="J307" s="92"/>
      <c r="K307" s="92"/>
      <c r="L307" s="48"/>
    </row>
    <row r="308" spans="1:12" x14ac:dyDescent="0.35">
      <c r="A308" s="2">
        <v>305</v>
      </c>
      <c r="B308" s="92"/>
      <c r="C308" s="92"/>
      <c r="D308" s="92"/>
      <c r="E308" s="85"/>
      <c r="F308" s="92"/>
      <c r="G308" s="85" t="str">
        <f t="shared" si="40"/>
        <v/>
      </c>
      <c r="H308" s="109">
        <f t="shared" si="39"/>
        <v>0</v>
      </c>
      <c r="I308" s="92"/>
      <c r="J308" s="92"/>
      <c r="K308" s="92"/>
      <c r="L308" s="48"/>
    </row>
    <row r="309" spans="1:12" x14ac:dyDescent="0.35">
      <c r="A309" s="2">
        <v>306</v>
      </c>
      <c r="B309" s="92"/>
      <c r="C309" s="92"/>
      <c r="D309" s="92"/>
      <c r="E309" s="85"/>
      <c r="F309" s="92"/>
      <c r="G309" s="85" t="str">
        <f t="shared" si="40"/>
        <v/>
      </c>
      <c r="H309" s="109">
        <f t="shared" si="39"/>
        <v>0</v>
      </c>
      <c r="I309" s="92"/>
      <c r="J309" s="92"/>
      <c r="K309" s="92"/>
      <c r="L309" s="48"/>
    </row>
    <row r="310" spans="1:12" x14ac:dyDescent="0.35">
      <c r="A310" s="2">
        <v>307</v>
      </c>
      <c r="B310" s="92"/>
      <c r="C310" s="92"/>
      <c r="D310" s="92"/>
      <c r="E310" s="85"/>
      <c r="F310" s="92"/>
      <c r="G310" s="85" t="str">
        <f t="shared" si="40"/>
        <v/>
      </c>
      <c r="H310" s="109">
        <f t="shared" si="39"/>
        <v>0</v>
      </c>
      <c r="I310" s="92"/>
      <c r="J310" s="92"/>
      <c r="K310" s="92"/>
      <c r="L310" s="48"/>
    </row>
    <row r="311" spans="1:12" x14ac:dyDescent="0.35">
      <c r="A311" s="2">
        <v>308</v>
      </c>
      <c r="B311" s="92"/>
      <c r="C311" s="92"/>
      <c r="D311" s="92"/>
      <c r="E311" s="85"/>
      <c r="F311" s="92"/>
      <c r="G311" s="85" t="str">
        <f t="shared" si="40"/>
        <v/>
      </c>
      <c r="H311" s="109">
        <f t="shared" si="39"/>
        <v>0</v>
      </c>
      <c r="I311" s="92"/>
      <c r="J311" s="92"/>
      <c r="K311" s="92"/>
      <c r="L311" s="48"/>
    </row>
    <row r="312" spans="1:12" x14ac:dyDescent="0.35">
      <c r="A312" s="2">
        <v>309</v>
      </c>
      <c r="B312" s="92"/>
      <c r="C312" s="92"/>
      <c r="D312" s="92"/>
      <c r="E312" s="85"/>
      <c r="F312" s="92"/>
      <c r="G312" s="85" t="str">
        <f t="shared" si="40"/>
        <v/>
      </c>
      <c r="H312" s="109">
        <f t="shared" ref="H312:H342" si="41">I312/8</f>
        <v>0</v>
      </c>
      <c r="I312" s="92"/>
      <c r="J312" s="92"/>
      <c r="K312" s="92"/>
      <c r="L312" s="48"/>
    </row>
    <row r="313" spans="1:12" x14ac:dyDescent="0.35">
      <c r="A313" s="2">
        <v>310</v>
      </c>
      <c r="B313" s="92"/>
      <c r="C313" s="92"/>
      <c r="D313" s="92"/>
      <c r="E313" s="85"/>
      <c r="F313" s="92"/>
      <c r="G313" s="85" t="str">
        <f t="shared" si="40"/>
        <v/>
      </c>
      <c r="H313" s="109">
        <f t="shared" si="41"/>
        <v>0</v>
      </c>
      <c r="I313" s="92"/>
      <c r="J313" s="92"/>
      <c r="K313" s="92"/>
      <c r="L313" s="48"/>
    </row>
    <row r="314" spans="1:12" x14ac:dyDescent="0.35">
      <c r="A314" s="2">
        <v>311</v>
      </c>
      <c r="B314" s="92"/>
      <c r="C314" s="92"/>
      <c r="D314" s="92"/>
      <c r="E314" s="85"/>
      <c r="F314" s="92"/>
      <c r="G314" s="85" t="str">
        <f t="shared" si="40"/>
        <v/>
      </c>
      <c r="H314" s="109">
        <f t="shared" si="41"/>
        <v>0</v>
      </c>
      <c r="I314" s="92"/>
      <c r="J314" s="92"/>
      <c r="K314" s="92"/>
      <c r="L314" s="48"/>
    </row>
    <row r="315" spans="1:12" x14ac:dyDescent="0.35">
      <c r="A315" s="2">
        <v>312</v>
      </c>
      <c r="B315" s="92"/>
      <c r="C315" s="92"/>
      <c r="D315" s="92"/>
      <c r="E315" s="85"/>
      <c r="F315" s="92"/>
      <c r="G315" s="85" t="str">
        <f t="shared" si="40"/>
        <v/>
      </c>
      <c r="H315" s="109">
        <f t="shared" si="41"/>
        <v>0</v>
      </c>
      <c r="I315" s="92"/>
      <c r="J315" s="92"/>
      <c r="K315" s="92"/>
      <c r="L315" s="48"/>
    </row>
    <row r="316" spans="1:12" x14ac:dyDescent="0.35">
      <c r="A316" s="2">
        <v>313</v>
      </c>
      <c r="B316" s="92"/>
      <c r="C316" s="92"/>
      <c r="D316" s="92"/>
      <c r="E316" s="85"/>
      <c r="F316" s="92"/>
      <c r="G316" s="85" t="str">
        <f t="shared" si="40"/>
        <v/>
      </c>
      <c r="H316" s="109">
        <f t="shared" si="41"/>
        <v>0</v>
      </c>
      <c r="I316" s="92"/>
      <c r="J316" s="92"/>
      <c r="K316" s="92"/>
      <c r="L316" s="48"/>
    </row>
    <row r="317" spans="1:12" x14ac:dyDescent="0.35">
      <c r="A317" s="2">
        <v>314</v>
      </c>
      <c r="B317" s="92"/>
      <c r="C317" s="92"/>
      <c r="D317" s="92"/>
      <c r="E317" s="85"/>
      <c r="F317" s="92"/>
      <c r="G317" s="85" t="str">
        <f t="shared" si="40"/>
        <v/>
      </c>
      <c r="H317" s="92">
        <f t="shared" si="41"/>
        <v>0</v>
      </c>
      <c r="I317" s="92"/>
      <c r="J317" s="92"/>
      <c r="K317" s="92"/>
      <c r="L317" s="48"/>
    </row>
    <row r="318" spans="1:12" x14ac:dyDescent="0.35">
      <c r="A318" s="2">
        <v>315</v>
      </c>
      <c r="B318" s="92"/>
      <c r="C318" s="92"/>
      <c r="D318" s="92"/>
      <c r="E318" s="85"/>
      <c r="F318" s="92"/>
      <c r="G318" s="85" t="str">
        <f t="shared" si="40"/>
        <v/>
      </c>
      <c r="H318" s="92">
        <f t="shared" si="41"/>
        <v>0</v>
      </c>
      <c r="I318" s="92"/>
      <c r="J318" s="92"/>
      <c r="K318" s="92"/>
      <c r="L318" s="48"/>
    </row>
    <row r="319" spans="1:12" x14ac:dyDescent="0.35">
      <c r="A319" s="2">
        <v>316</v>
      </c>
      <c r="B319" s="92"/>
      <c r="C319" s="92"/>
      <c r="D319" s="92"/>
      <c r="E319" s="85"/>
      <c r="F319" s="92"/>
      <c r="G319" s="85" t="str">
        <f t="shared" si="40"/>
        <v/>
      </c>
      <c r="H319" s="92">
        <f t="shared" si="41"/>
        <v>0</v>
      </c>
      <c r="I319" s="92"/>
      <c r="J319" s="92"/>
      <c r="K319" s="92"/>
      <c r="L319" s="48"/>
    </row>
    <row r="320" spans="1:12" x14ac:dyDescent="0.35">
      <c r="A320" s="2">
        <v>317</v>
      </c>
      <c r="B320" s="92"/>
      <c r="C320" s="92"/>
      <c r="D320" s="92"/>
      <c r="E320" s="85"/>
      <c r="F320" s="92"/>
      <c r="G320" s="85" t="str">
        <f t="shared" si="40"/>
        <v/>
      </c>
      <c r="H320" s="92">
        <f t="shared" si="41"/>
        <v>0</v>
      </c>
      <c r="I320" s="92"/>
      <c r="J320" s="92"/>
      <c r="K320" s="92"/>
      <c r="L320" s="48"/>
    </row>
    <row r="321" spans="1:12" x14ac:dyDescent="0.35">
      <c r="A321" s="2">
        <v>318</v>
      </c>
      <c r="B321" s="92"/>
      <c r="C321" s="92"/>
      <c r="D321" s="92"/>
      <c r="E321" s="85"/>
      <c r="F321" s="92"/>
      <c r="G321" s="85" t="str">
        <f t="shared" si="40"/>
        <v/>
      </c>
      <c r="H321" s="92">
        <f t="shared" si="41"/>
        <v>0</v>
      </c>
      <c r="I321" s="92"/>
      <c r="J321" s="92"/>
      <c r="K321" s="92"/>
      <c r="L321" s="48"/>
    </row>
    <row r="322" spans="1:12" x14ac:dyDescent="0.35">
      <c r="A322" s="2">
        <v>319</v>
      </c>
      <c r="B322" s="92"/>
      <c r="C322" s="92"/>
      <c r="D322" s="92"/>
      <c r="E322" s="85"/>
      <c r="F322" s="92"/>
      <c r="G322" s="85" t="str">
        <f t="shared" si="40"/>
        <v/>
      </c>
      <c r="H322" s="92">
        <f t="shared" si="41"/>
        <v>0</v>
      </c>
      <c r="I322" s="92"/>
      <c r="J322" s="92"/>
      <c r="K322" s="92"/>
      <c r="L322" s="48"/>
    </row>
    <row r="323" spans="1:12" x14ac:dyDescent="0.35">
      <c r="A323" s="2">
        <v>320</v>
      </c>
      <c r="B323" s="92"/>
      <c r="C323" s="92"/>
      <c r="D323" s="92"/>
      <c r="E323" s="85"/>
      <c r="F323" s="92"/>
      <c r="G323" s="85" t="str">
        <f t="shared" si="40"/>
        <v/>
      </c>
      <c r="H323" s="92">
        <f t="shared" si="41"/>
        <v>0</v>
      </c>
      <c r="I323" s="92"/>
      <c r="J323" s="92"/>
      <c r="K323" s="92"/>
      <c r="L323" s="48"/>
    </row>
    <row r="324" spans="1:12" x14ac:dyDescent="0.35">
      <c r="A324" s="2">
        <v>321</v>
      </c>
      <c r="B324" s="92"/>
      <c r="C324" s="92"/>
      <c r="D324" s="92"/>
      <c r="E324" s="85"/>
      <c r="F324" s="92"/>
      <c r="G324" s="85" t="str">
        <f t="shared" si="40"/>
        <v/>
      </c>
      <c r="H324" s="92">
        <f t="shared" si="41"/>
        <v>0</v>
      </c>
      <c r="I324" s="92"/>
      <c r="J324" s="92"/>
      <c r="K324" s="92"/>
      <c r="L324" s="48"/>
    </row>
    <row r="325" spans="1:12" x14ac:dyDescent="0.35">
      <c r="A325" s="2">
        <v>322</v>
      </c>
      <c r="B325" s="92"/>
      <c r="C325" s="92"/>
      <c r="D325" s="92"/>
      <c r="E325" s="85"/>
      <c r="F325" s="92"/>
      <c r="G325" s="85" t="str">
        <f t="shared" si="40"/>
        <v/>
      </c>
      <c r="H325" s="92">
        <f t="shared" si="41"/>
        <v>0</v>
      </c>
      <c r="I325" s="92"/>
      <c r="J325" s="92"/>
      <c r="K325" s="92"/>
      <c r="L325" s="48"/>
    </row>
    <row r="326" spans="1:12" x14ac:dyDescent="0.35">
      <c r="A326" s="2">
        <v>323</v>
      </c>
      <c r="B326" s="92"/>
      <c r="C326" s="92"/>
      <c r="D326" s="92"/>
      <c r="E326" s="85"/>
      <c r="F326" s="92"/>
      <c r="G326" s="85" t="str">
        <f t="shared" si="40"/>
        <v/>
      </c>
      <c r="H326" s="92">
        <f t="shared" si="41"/>
        <v>0</v>
      </c>
      <c r="I326" s="92"/>
      <c r="J326" s="92"/>
      <c r="K326" s="92"/>
      <c r="L326" s="48"/>
    </row>
    <row r="327" spans="1:12" x14ac:dyDescent="0.35">
      <c r="A327" s="2">
        <v>324</v>
      </c>
      <c r="B327" s="92"/>
      <c r="C327" s="92"/>
      <c r="D327" s="92"/>
      <c r="E327" s="85"/>
      <c r="F327" s="92"/>
      <c r="G327" s="85" t="str">
        <f t="shared" si="40"/>
        <v/>
      </c>
      <c r="H327" s="92">
        <f t="shared" si="41"/>
        <v>0</v>
      </c>
      <c r="I327" s="92"/>
      <c r="J327" s="92"/>
      <c r="K327" s="92"/>
      <c r="L327" s="48"/>
    </row>
    <row r="328" spans="1:12" x14ac:dyDescent="0.35">
      <c r="A328" s="2">
        <v>325</v>
      </c>
      <c r="B328" s="92"/>
      <c r="C328" s="92"/>
      <c r="D328" s="92"/>
      <c r="E328" s="85"/>
      <c r="F328" s="92"/>
      <c r="G328" s="85" t="str">
        <f t="shared" si="40"/>
        <v/>
      </c>
      <c r="H328" s="92">
        <f t="shared" si="41"/>
        <v>0</v>
      </c>
      <c r="I328" s="92"/>
      <c r="J328" s="92"/>
      <c r="K328" s="92"/>
      <c r="L328" s="48"/>
    </row>
    <row r="329" spans="1:12" x14ac:dyDescent="0.35">
      <c r="A329" s="2">
        <v>326</v>
      </c>
      <c r="B329" s="92"/>
      <c r="C329" s="92"/>
      <c r="D329" s="92"/>
      <c r="E329" s="85"/>
      <c r="F329" s="92"/>
      <c r="G329" s="85" t="str">
        <f t="shared" si="40"/>
        <v/>
      </c>
      <c r="H329" s="92">
        <f t="shared" si="41"/>
        <v>0</v>
      </c>
      <c r="I329" s="92"/>
      <c r="J329" s="92"/>
      <c r="K329" s="92"/>
      <c r="L329" s="48"/>
    </row>
    <row r="330" spans="1:12" x14ac:dyDescent="0.35">
      <c r="A330" s="2">
        <v>327</v>
      </c>
      <c r="B330" s="92"/>
      <c r="C330" s="92"/>
      <c r="D330" s="92"/>
      <c r="E330" s="85"/>
      <c r="F330" s="92"/>
      <c r="G330" s="85" t="str">
        <f t="shared" si="40"/>
        <v/>
      </c>
      <c r="H330" s="92">
        <f t="shared" si="41"/>
        <v>0</v>
      </c>
      <c r="I330" s="92"/>
      <c r="J330" s="92"/>
      <c r="K330" s="92"/>
      <c r="L330" s="48"/>
    </row>
    <row r="331" spans="1:12" x14ac:dyDescent="0.35">
      <c r="A331" s="2">
        <v>328</v>
      </c>
      <c r="B331" s="92"/>
      <c r="C331" s="92"/>
      <c r="D331" s="92"/>
      <c r="E331" s="85"/>
      <c r="F331" s="92"/>
      <c r="G331" s="85"/>
      <c r="H331" s="92">
        <f t="shared" si="41"/>
        <v>0</v>
      </c>
      <c r="I331" s="92"/>
      <c r="J331" s="92"/>
      <c r="K331" s="92"/>
      <c r="L331" s="48"/>
    </row>
    <row r="332" spans="1:12" x14ac:dyDescent="0.35">
      <c r="A332" s="2">
        <v>329</v>
      </c>
      <c r="B332" s="92"/>
      <c r="C332" s="92"/>
      <c r="D332" s="92"/>
      <c r="E332" s="85"/>
      <c r="F332" s="92"/>
      <c r="G332" s="85"/>
      <c r="H332" s="92">
        <f t="shared" si="41"/>
        <v>0</v>
      </c>
      <c r="I332" s="92"/>
      <c r="J332" s="92"/>
      <c r="K332" s="92"/>
      <c r="L332" s="48"/>
    </row>
    <row r="333" spans="1:12" x14ac:dyDescent="0.35">
      <c r="A333" s="2">
        <v>330</v>
      </c>
      <c r="B333" s="92"/>
      <c r="C333" s="92"/>
      <c r="D333" s="92"/>
      <c r="E333" s="85"/>
      <c r="F333" s="92"/>
      <c r="G333" s="85"/>
      <c r="H333" s="92">
        <f t="shared" si="41"/>
        <v>0</v>
      </c>
      <c r="I333" s="92"/>
      <c r="J333" s="92"/>
      <c r="K333" s="92"/>
      <c r="L333" s="48"/>
    </row>
    <row r="334" spans="1:12" x14ac:dyDescent="0.35">
      <c r="A334" s="2">
        <v>331</v>
      </c>
      <c r="B334" s="92"/>
      <c r="C334" s="92"/>
      <c r="D334" s="92"/>
      <c r="E334" s="85"/>
      <c r="F334" s="92"/>
      <c r="G334" s="85"/>
      <c r="H334" s="92">
        <f t="shared" si="41"/>
        <v>0</v>
      </c>
      <c r="I334" s="92"/>
      <c r="J334" s="92"/>
      <c r="K334" s="92"/>
      <c r="L334" s="48"/>
    </row>
    <row r="335" spans="1:12" x14ac:dyDescent="0.35">
      <c r="A335" s="2">
        <v>332</v>
      </c>
      <c r="B335" s="92"/>
      <c r="C335" s="92"/>
      <c r="D335" s="92"/>
      <c r="E335" s="85"/>
      <c r="F335" s="92"/>
      <c r="G335" s="85"/>
      <c r="H335" s="92">
        <f t="shared" si="41"/>
        <v>0</v>
      </c>
      <c r="I335" s="92"/>
      <c r="J335" s="92"/>
      <c r="K335" s="92"/>
      <c r="L335" s="48"/>
    </row>
    <row r="336" spans="1:12" x14ac:dyDescent="0.35">
      <c r="A336" s="2">
        <v>333</v>
      </c>
      <c r="B336" s="92"/>
      <c r="C336" s="92"/>
      <c r="D336" s="92"/>
      <c r="E336" s="85"/>
      <c r="F336" s="92"/>
      <c r="G336" s="85"/>
      <c r="H336" s="92">
        <f t="shared" si="41"/>
        <v>0</v>
      </c>
      <c r="I336" s="92"/>
      <c r="J336" s="92"/>
      <c r="K336" s="92"/>
      <c r="L336" s="48"/>
    </row>
    <row r="337" spans="1:12" x14ac:dyDescent="0.35">
      <c r="A337" s="2">
        <v>334</v>
      </c>
      <c r="B337" s="92"/>
      <c r="C337" s="92"/>
      <c r="D337" s="92"/>
      <c r="E337" s="85"/>
      <c r="F337" s="92"/>
      <c r="G337" s="85"/>
      <c r="H337" s="92">
        <f t="shared" si="41"/>
        <v>0</v>
      </c>
      <c r="I337" s="92"/>
      <c r="J337" s="92"/>
      <c r="K337" s="92"/>
      <c r="L337" s="48"/>
    </row>
    <row r="338" spans="1:12" x14ac:dyDescent="0.35">
      <c r="A338" s="2">
        <v>335</v>
      </c>
      <c r="B338" s="92"/>
      <c r="C338" s="92"/>
      <c r="D338" s="92"/>
      <c r="E338" s="85"/>
      <c r="F338" s="92"/>
      <c r="G338" s="85"/>
      <c r="H338" s="92">
        <f t="shared" si="41"/>
        <v>0</v>
      </c>
      <c r="I338" s="92"/>
      <c r="J338" s="92"/>
      <c r="K338" s="92"/>
      <c r="L338" s="48"/>
    </row>
    <row r="339" spans="1:12" x14ac:dyDescent="0.35">
      <c r="A339" s="2">
        <v>336</v>
      </c>
      <c r="B339" s="92"/>
      <c r="C339" s="92"/>
      <c r="D339" s="92"/>
      <c r="E339" s="85"/>
      <c r="F339" s="92"/>
      <c r="G339" s="85"/>
      <c r="H339" s="92">
        <f t="shared" si="41"/>
        <v>0</v>
      </c>
      <c r="I339" s="92"/>
      <c r="J339" s="92"/>
      <c r="K339" s="92"/>
      <c r="L339" s="48"/>
    </row>
    <row r="340" spans="1:12" x14ac:dyDescent="0.35">
      <c r="A340" s="2">
        <v>337</v>
      </c>
      <c r="B340" s="92"/>
      <c r="C340" s="92"/>
      <c r="D340" s="92"/>
      <c r="E340" s="85"/>
      <c r="F340" s="92"/>
      <c r="G340" s="85"/>
      <c r="H340" s="92">
        <f t="shared" si="41"/>
        <v>0</v>
      </c>
      <c r="I340" s="92"/>
      <c r="J340" s="92"/>
      <c r="K340" s="92"/>
      <c r="L340" s="48"/>
    </row>
    <row r="341" spans="1:12" x14ac:dyDescent="0.35">
      <c r="A341" s="2">
        <v>338</v>
      </c>
      <c r="B341" s="92"/>
      <c r="C341" s="92"/>
      <c r="D341" s="92"/>
      <c r="E341" s="85"/>
      <c r="F341" s="92"/>
      <c r="G341" s="85"/>
      <c r="H341" s="92">
        <f t="shared" si="41"/>
        <v>0</v>
      </c>
      <c r="I341" s="92"/>
      <c r="J341" s="92"/>
      <c r="K341" s="92"/>
      <c r="L341" s="48"/>
    </row>
    <row r="342" spans="1:12" x14ac:dyDescent="0.35">
      <c r="A342" s="2">
        <v>339</v>
      </c>
      <c r="B342" s="92"/>
      <c r="C342" s="92"/>
      <c r="D342" s="92"/>
      <c r="E342" s="85"/>
      <c r="F342" s="92"/>
      <c r="G342" s="85"/>
      <c r="H342" s="92">
        <f t="shared" si="41"/>
        <v>0</v>
      </c>
      <c r="I342" s="92"/>
      <c r="J342" s="92"/>
      <c r="K342" s="92"/>
    </row>
    <row r="345" spans="1:12" x14ac:dyDescent="0.35">
      <c r="L345" s="48"/>
    </row>
    <row r="346" spans="1:12" x14ac:dyDescent="0.35">
      <c r="L346" s="48"/>
    </row>
    <row r="347" spans="1:12" x14ac:dyDescent="0.35">
      <c r="L347" s="48"/>
    </row>
    <row r="348" spans="1:12" x14ac:dyDescent="0.35">
      <c r="L348" s="48"/>
    </row>
    <row r="349" spans="1:12" x14ac:dyDescent="0.35">
      <c r="L349" s="48"/>
    </row>
    <row r="350" spans="1:12" x14ac:dyDescent="0.35">
      <c r="L350" s="48"/>
    </row>
    <row r="351" spans="1:12" x14ac:dyDescent="0.35">
      <c r="L351" s="48"/>
    </row>
    <row r="352" spans="1:12" x14ac:dyDescent="0.35">
      <c r="L352" s="48"/>
    </row>
    <row r="353" spans="12:12" x14ac:dyDescent="0.35">
      <c r="L353" s="48"/>
    </row>
  </sheetData>
  <autoFilter ref="A3:P342"/>
  <mergeCells count="1">
    <mergeCell ref="B2:K2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2"/>
  <sheetViews>
    <sheetView zoomScale="74" zoomScaleNormal="100" workbookViewId="0">
      <selection activeCell="G1" sqref="G1:G1048576"/>
    </sheetView>
  </sheetViews>
  <sheetFormatPr baseColWidth="10" defaultColWidth="11.453125" defaultRowHeight="14.5" x14ac:dyDescent="0.35"/>
  <cols>
    <col min="1" max="1" width="11.81640625" style="2" customWidth="1"/>
    <col min="2" max="3" width="22.453125" style="2" customWidth="1"/>
    <col min="4" max="4" width="14" style="2" customWidth="1"/>
    <col min="5" max="5" width="40.54296875" style="44" bestFit="1" customWidth="1"/>
    <col min="6" max="6" width="16.7265625" style="2" customWidth="1"/>
    <col min="7" max="7" width="77.1796875" style="2" hidden="1" customWidth="1"/>
    <col min="8" max="13" width="14" style="2" customWidth="1"/>
    <col min="14" max="14" width="24.26953125" style="2" customWidth="1"/>
    <col min="15" max="15" width="12.54296875" style="2" customWidth="1"/>
    <col min="16" max="16384" width="11.453125" style="2"/>
  </cols>
  <sheetData>
    <row r="2" spans="1:11" x14ac:dyDescent="0.35">
      <c r="A2" s="2" t="s">
        <v>103</v>
      </c>
      <c r="B2" s="137" t="s">
        <v>1</v>
      </c>
      <c r="C2" s="138"/>
      <c r="D2" s="138"/>
      <c r="E2" s="138"/>
      <c r="F2" s="138"/>
      <c r="G2" s="138"/>
      <c r="H2" s="138"/>
      <c r="I2" s="138"/>
      <c r="J2" s="138"/>
      <c r="K2" s="139"/>
    </row>
    <row r="3" spans="1:11" ht="58" x14ac:dyDescent="0.35">
      <c r="A3" s="2">
        <f>COUNT(A4:A111)/3</f>
        <v>36</v>
      </c>
      <c r="B3" s="71" t="s">
        <v>68</v>
      </c>
      <c r="C3" s="71" t="s">
        <v>18</v>
      </c>
      <c r="D3" s="71" t="s">
        <v>22</v>
      </c>
      <c r="E3" s="71" t="s">
        <v>25</v>
      </c>
      <c r="F3" s="71" t="s">
        <v>0</v>
      </c>
      <c r="G3" s="71" t="s">
        <v>28</v>
      </c>
      <c r="H3" s="71" t="s">
        <v>8</v>
      </c>
      <c r="I3" s="71" t="s">
        <v>64</v>
      </c>
      <c r="J3" s="72"/>
      <c r="K3" s="72" t="s">
        <v>11</v>
      </c>
    </row>
    <row r="4" spans="1:11" x14ac:dyDescent="0.35">
      <c r="A4" s="2">
        <v>1</v>
      </c>
      <c r="B4" s="104" t="s">
        <v>41</v>
      </c>
      <c r="C4" s="104" t="s">
        <v>23</v>
      </c>
      <c r="D4" s="104" t="s">
        <v>37</v>
      </c>
      <c r="E4" s="105" t="s">
        <v>106</v>
      </c>
      <c r="F4" s="104" t="s">
        <v>44</v>
      </c>
      <c r="G4" s="105" t="str">
        <f t="shared" ref="G4:G105" si="0">CONCATENATE(B4,C4,D4,E4,F4)</f>
        <v>ModificaciónDTCoreAnalisis Codigo AnteriorBaja</v>
      </c>
      <c r="H4" s="104">
        <f t="shared" ref="H4:H67" si="1">I4/8</f>
        <v>0.625</v>
      </c>
      <c r="I4" s="104">
        <v>5</v>
      </c>
      <c r="J4" s="104"/>
      <c r="K4" s="104"/>
    </row>
    <row r="5" spans="1:11" x14ac:dyDescent="0.35">
      <c r="A5" s="2">
        <v>2</v>
      </c>
      <c r="B5" s="104" t="s">
        <v>41</v>
      </c>
      <c r="C5" s="104" t="s">
        <v>23</v>
      </c>
      <c r="D5" s="104" t="s">
        <v>37</v>
      </c>
      <c r="E5" s="105" t="s">
        <v>106</v>
      </c>
      <c r="F5" s="104" t="s">
        <v>43</v>
      </c>
      <c r="G5" s="105" t="str">
        <f t="shared" si="0"/>
        <v>ModificaciónDTCoreAnalisis Codigo AnteriorMedia</v>
      </c>
      <c r="H5" s="104">
        <f t="shared" si="1"/>
        <v>1</v>
      </c>
      <c r="I5" s="104">
        <v>8</v>
      </c>
      <c r="J5" s="104"/>
      <c r="K5" s="104"/>
    </row>
    <row r="6" spans="1:11" x14ac:dyDescent="0.35">
      <c r="A6" s="2">
        <v>3</v>
      </c>
      <c r="B6" s="104" t="s">
        <v>41</v>
      </c>
      <c r="C6" s="104" t="s">
        <v>23</v>
      </c>
      <c r="D6" s="104" t="s">
        <v>37</v>
      </c>
      <c r="E6" s="105" t="s">
        <v>106</v>
      </c>
      <c r="F6" s="104" t="s">
        <v>42</v>
      </c>
      <c r="G6" s="105" t="str">
        <f t="shared" si="0"/>
        <v>ModificaciónDTCoreAnalisis Codigo AnteriorAlta</v>
      </c>
      <c r="H6" s="104">
        <f t="shared" si="1"/>
        <v>1.875</v>
      </c>
      <c r="I6" s="104">
        <v>15</v>
      </c>
      <c r="J6" s="104"/>
      <c r="K6" s="104"/>
    </row>
    <row r="7" spans="1:11" x14ac:dyDescent="0.35">
      <c r="A7" s="2">
        <v>4</v>
      </c>
      <c r="B7" s="106" t="s">
        <v>41</v>
      </c>
      <c r="C7" s="106" t="s">
        <v>23</v>
      </c>
      <c r="D7" s="106" t="s">
        <v>37</v>
      </c>
      <c r="E7" s="107" t="s">
        <v>82</v>
      </c>
      <c r="F7" s="106" t="s">
        <v>44</v>
      </c>
      <c r="G7" s="107" t="str">
        <f t="shared" si="0"/>
        <v>ModificaciónDTCoreAnalisis FuncionalBaja</v>
      </c>
      <c r="H7" s="106">
        <f t="shared" si="1"/>
        <v>0.125</v>
      </c>
      <c r="I7" s="106">
        <v>1</v>
      </c>
      <c r="J7" s="106"/>
      <c r="K7" s="106"/>
    </row>
    <row r="8" spans="1:11" x14ac:dyDescent="0.35">
      <c r="A8" s="2">
        <v>5</v>
      </c>
      <c r="B8" s="106" t="s">
        <v>41</v>
      </c>
      <c r="C8" s="106" t="s">
        <v>23</v>
      </c>
      <c r="D8" s="106" t="s">
        <v>37</v>
      </c>
      <c r="E8" s="107" t="s">
        <v>82</v>
      </c>
      <c r="F8" s="106" t="s">
        <v>43</v>
      </c>
      <c r="G8" s="107" t="str">
        <f t="shared" si="0"/>
        <v>ModificaciónDTCoreAnalisis FuncionalMedia</v>
      </c>
      <c r="H8" s="106">
        <f t="shared" si="1"/>
        <v>0.25</v>
      </c>
      <c r="I8" s="106">
        <v>2</v>
      </c>
      <c r="J8" s="106"/>
      <c r="K8" s="106"/>
    </row>
    <row r="9" spans="1:11" x14ac:dyDescent="0.35">
      <c r="A9" s="2">
        <v>6</v>
      </c>
      <c r="B9" s="106" t="s">
        <v>41</v>
      </c>
      <c r="C9" s="106" t="s">
        <v>23</v>
      </c>
      <c r="D9" s="106" t="s">
        <v>37</v>
      </c>
      <c r="E9" s="107" t="s">
        <v>82</v>
      </c>
      <c r="F9" s="106" t="s">
        <v>42</v>
      </c>
      <c r="G9" s="107" t="str">
        <f t="shared" si="0"/>
        <v>ModificaciónDTCoreAnalisis FuncionalAlta</v>
      </c>
      <c r="H9" s="106">
        <f t="shared" si="1"/>
        <v>0.5</v>
      </c>
      <c r="I9" s="106">
        <v>4</v>
      </c>
      <c r="J9" s="106"/>
      <c r="K9" s="106"/>
    </row>
    <row r="10" spans="1:11" x14ac:dyDescent="0.35">
      <c r="A10" s="2">
        <v>7</v>
      </c>
      <c r="B10" s="104" t="s">
        <v>41</v>
      </c>
      <c r="C10" s="104" t="s">
        <v>23</v>
      </c>
      <c r="D10" s="104" t="s">
        <v>37</v>
      </c>
      <c r="E10" s="105" t="s">
        <v>80</v>
      </c>
      <c r="F10" s="104" t="s">
        <v>44</v>
      </c>
      <c r="G10" s="105" t="str">
        <f t="shared" si="0"/>
        <v>ModificaciónDTCoreDocumentacion Funcional ServicioBaja</v>
      </c>
      <c r="H10" s="104">
        <f t="shared" si="1"/>
        <v>0.125</v>
      </c>
      <c r="I10" s="104">
        <v>1</v>
      </c>
      <c r="J10" s="104"/>
      <c r="K10" s="104"/>
    </row>
    <row r="11" spans="1:11" x14ac:dyDescent="0.35">
      <c r="A11" s="2">
        <v>8</v>
      </c>
      <c r="B11" s="104" t="s">
        <v>41</v>
      </c>
      <c r="C11" s="104" t="s">
        <v>23</v>
      </c>
      <c r="D11" s="104" t="s">
        <v>37</v>
      </c>
      <c r="E11" s="105" t="s">
        <v>80</v>
      </c>
      <c r="F11" s="104" t="s">
        <v>43</v>
      </c>
      <c r="G11" s="105" t="str">
        <f t="shared" si="0"/>
        <v>ModificaciónDTCoreDocumentacion Funcional ServicioMedia</v>
      </c>
      <c r="H11" s="104">
        <f t="shared" si="1"/>
        <v>0.1875</v>
      </c>
      <c r="I11" s="104">
        <v>1.5</v>
      </c>
      <c r="J11" s="104"/>
      <c r="K11" s="104"/>
    </row>
    <row r="12" spans="1:11" x14ac:dyDescent="0.35">
      <c r="A12" s="2">
        <v>9</v>
      </c>
      <c r="B12" s="104" t="s">
        <v>41</v>
      </c>
      <c r="C12" s="104" t="s">
        <v>23</v>
      </c>
      <c r="D12" s="104" t="s">
        <v>37</v>
      </c>
      <c r="E12" s="105" t="s">
        <v>80</v>
      </c>
      <c r="F12" s="104" t="s">
        <v>42</v>
      </c>
      <c r="G12" s="105" t="str">
        <f t="shared" si="0"/>
        <v>ModificaciónDTCoreDocumentacion Funcional ServicioAlta</v>
      </c>
      <c r="H12" s="104">
        <f t="shared" si="1"/>
        <v>0.25</v>
      </c>
      <c r="I12" s="104">
        <v>2</v>
      </c>
      <c r="J12" s="104"/>
      <c r="K12" s="104"/>
    </row>
    <row r="13" spans="1:11" x14ac:dyDescent="0.35">
      <c r="A13" s="2">
        <v>10</v>
      </c>
      <c r="B13" s="106" t="s">
        <v>41</v>
      </c>
      <c r="C13" s="106" t="s">
        <v>23</v>
      </c>
      <c r="D13" s="106" t="s">
        <v>37</v>
      </c>
      <c r="E13" s="107" t="s">
        <v>81</v>
      </c>
      <c r="F13" s="106" t="s">
        <v>44</v>
      </c>
      <c r="G13" s="107" t="str">
        <f t="shared" si="0"/>
        <v>ModificaciónDTCoreDocumentacion Funcional BatchBaja</v>
      </c>
      <c r="H13" s="106">
        <f t="shared" si="1"/>
        <v>0.125</v>
      </c>
      <c r="I13" s="106">
        <v>1</v>
      </c>
      <c r="J13" s="106"/>
      <c r="K13" s="106"/>
    </row>
    <row r="14" spans="1:11" x14ac:dyDescent="0.35">
      <c r="A14" s="2">
        <v>11</v>
      </c>
      <c r="B14" s="106" t="s">
        <v>41</v>
      </c>
      <c r="C14" s="106" t="s">
        <v>23</v>
      </c>
      <c r="D14" s="106" t="s">
        <v>37</v>
      </c>
      <c r="E14" s="107" t="s">
        <v>81</v>
      </c>
      <c r="F14" s="106" t="s">
        <v>43</v>
      </c>
      <c r="G14" s="107" t="str">
        <f t="shared" si="0"/>
        <v>ModificaciónDTCoreDocumentacion Funcional BatchMedia</v>
      </c>
      <c r="H14" s="106">
        <f t="shared" si="1"/>
        <v>0.1875</v>
      </c>
      <c r="I14" s="106">
        <v>1.5</v>
      </c>
      <c r="J14" s="106"/>
      <c r="K14" s="106"/>
    </row>
    <row r="15" spans="1:11" x14ac:dyDescent="0.35">
      <c r="A15" s="2">
        <v>12</v>
      </c>
      <c r="B15" s="106" t="s">
        <v>41</v>
      </c>
      <c r="C15" s="106" t="s">
        <v>23</v>
      </c>
      <c r="D15" s="106" t="s">
        <v>37</v>
      </c>
      <c r="E15" s="107" t="s">
        <v>81</v>
      </c>
      <c r="F15" s="106" t="s">
        <v>42</v>
      </c>
      <c r="G15" s="107" t="str">
        <f t="shared" si="0"/>
        <v>ModificaciónDTCoreDocumentacion Funcional BatchAlta</v>
      </c>
      <c r="H15" s="106">
        <f t="shared" si="1"/>
        <v>0.25</v>
      </c>
      <c r="I15" s="106">
        <v>2</v>
      </c>
      <c r="J15" s="106"/>
      <c r="K15" s="106"/>
    </row>
    <row r="16" spans="1:11" x14ac:dyDescent="0.35">
      <c r="A16" s="2">
        <v>13</v>
      </c>
      <c r="B16" s="104" t="s">
        <v>41</v>
      </c>
      <c r="C16" s="104" t="s">
        <v>23</v>
      </c>
      <c r="D16" s="104" t="s">
        <v>37</v>
      </c>
      <c r="E16" s="105" t="s">
        <v>96</v>
      </c>
      <c r="F16" s="104" t="s">
        <v>44</v>
      </c>
      <c r="G16" s="105" t="str">
        <f t="shared" si="0"/>
        <v>ModificaciónDTCoreDocumentacion codigoBaja</v>
      </c>
      <c r="H16" s="104">
        <f t="shared" si="1"/>
        <v>0.25</v>
      </c>
      <c r="I16" s="104">
        <v>2</v>
      </c>
      <c r="J16" s="104"/>
      <c r="K16" s="104"/>
    </row>
    <row r="17" spans="1:11" x14ac:dyDescent="0.35">
      <c r="A17" s="2">
        <v>14</v>
      </c>
      <c r="B17" s="104" t="s">
        <v>41</v>
      </c>
      <c r="C17" s="104" t="s">
        <v>23</v>
      </c>
      <c r="D17" s="104" t="s">
        <v>37</v>
      </c>
      <c r="E17" s="105" t="s">
        <v>96</v>
      </c>
      <c r="F17" s="104" t="s">
        <v>43</v>
      </c>
      <c r="G17" s="105" t="str">
        <f t="shared" si="0"/>
        <v>ModificaciónDTCoreDocumentacion codigoMedia</v>
      </c>
      <c r="H17" s="104">
        <f t="shared" si="1"/>
        <v>0.5</v>
      </c>
      <c r="I17" s="104">
        <v>4</v>
      </c>
      <c r="J17" s="104"/>
      <c r="K17" s="104"/>
    </row>
    <row r="18" spans="1:11" x14ac:dyDescent="0.35">
      <c r="A18" s="2">
        <v>15</v>
      </c>
      <c r="B18" s="104" t="s">
        <v>41</v>
      </c>
      <c r="C18" s="104" t="s">
        <v>23</v>
      </c>
      <c r="D18" s="104" t="s">
        <v>37</v>
      </c>
      <c r="E18" s="105" t="s">
        <v>96</v>
      </c>
      <c r="F18" s="104" t="s">
        <v>42</v>
      </c>
      <c r="G18" s="105" t="str">
        <f t="shared" si="0"/>
        <v>ModificaciónDTCoreDocumentacion codigoAlta</v>
      </c>
      <c r="H18" s="104">
        <f t="shared" si="1"/>
        <v>0.75</v>
      </c>
      <c r="I18" s="104">
        <v>6</v>
      </c>
      <c r="J18" s="104"/>
      <c r="K18" s="104"/>
    </row>
    <row r="19" spans="1:11" x14ac:dyDescent="0.35">
      <c r="A19" s="2">
        <v>16</v>
      </c>
      <c r="B19" s="106" t="s">
        <v>41</v>
      </c>
      <c r="C19" s="106" t="s">
        <v>23</v>
      </c>
      <c r="D19" s="106" t="s">
        <v>38</v>
      </c>
      <c r="E19" s="107" t="s">
        <v>79</v>
      </c>
      <c r="F19" s="106" t="s">
        <v>44</v>
      </c>
      <c r="G19" s="107" t="str">
        <f t="shared" si="0"/>
        <v>ModificaciónDTFrontalDocumentacion Funcional PantallaBaja</v>
      </c>
      <c r="H19" s="106">
        <f t="shared" si="1"/>
        <v>0.125</v>
      </c>
      <c r="I19" s="106">
        <v>1</v>
      </c>
      <c r="J19" s="106"/>
      <c r="K19" s="106"/>
    </row>
    <row r="20" spans="1:11" x14ac:dyDescent="0.35">
      <c r="A20" s="2">
        <v>17</v>
      </c>
      <c r="B20" s="106" t="s">
        <v>41</v>
      </c>
      <c r="C20" s="106" t="s">
        <v>23</v>
      </c>
      <c r="D20" s="106" t="s">
        <v>38</v>
      </c>
      <c r="E20" s="107" t="s">
        <v>79</v>
      </c>
      <c r="F20" s="106" t="s">
        <v>43</v>
      </c>
      <c r="G20" s="107" t="str">
        <f t="shared" si="0"/>
        <v>ModificaciónDTFrontalDocumentacion Funcional PantallaMedia</v>
      </c>
      <c r="H20" s="106">
        <f t="shared" si="1"/>
        <v>0.25</v>
      </c>
      <c r="I20" s="106">
        <v>2</v>
      </c>
      <c r="J20" s="106"/>
      <c r="K20" s="106"/>
    </row>
    <row r="21" spans="1:11" x14ac:dyDescent="0.35">
      <c r="A21" s="2">
        <v>18</v>
      </c>
      <c r="B21" s="106" t="s">
        <v>41</v>
      </c>
      <c r="C21" s="106" t="s">
        <v>23</v>
      </c>
      <c r="D21" s="106" t="s">
        <v>38</v>
      </c>
      <c r="E21" s="107" t="s">
        <v>79</v>
      </c>
      <c r="F21" s="106" t="s">
        <v>42</v>
      </c>
      <c r="G21" s="107" t="str">
        <f t="shared" si="0"/>
        <v>ModificaciónDTFrontalDocumentacion Funcional PantallaAlta</v>
      </c>
      <c r="H21" s="106">
        <f t="shared" si="1"/>
        <v>0.375</v>
      </c>
      <c r="I21" s="106">
        <v>3</v>
      </c>
      <c r="J21" s="106"/>
      <c r="K21" s="106"/>
    </row>
    <row r="22" spans="1:11" x14ac:dyDescent="0.35">
      <c r="A22" s="2">
        <v>19</v>
      </c>
      <c r="B22" s="104" t="s">
        <v>41</v>
      </c>
      <c r="C22" s="104" t="s">
        <v>23</v>
      </c>
      <c r="D22" s="104" t="s">
        <v>38</v>
      </c>
      <c r="E22" s="105" t="s">
        <v>106</v>
      </c>
      <c r="F22" s="104" t="s">
        <v>44</v>
      </c>
      <c r="G22" s="105" t="str">
        <f t="shared" si="0"/>
        <v>ModificaciónDTFrontalAnalisis Codigo AnteriorBaja</v>
      </c>
      <c r="H22" s="104">
        <f t="shared" si="1"/>
        <v>0.5</v>
      </c>
      <c r="I22" s="104">
        <v>4</v>
      </c>
      <c r="J22" s="104"/>
      <c r="K22" s="104"/>
    </row>
    <row r="23" spans="1:11" x14ac:dyDescent="0.35">
      <c r="A23" s="2">
        <v>20</v>
      </c>
      <c r="B23" s="104" t="s">
        <v>41</v>
      </c>
      <c r="C23" s="104" t="s">
        <v>23</v>
      </c>
      <c r="D23" s="104" t="s">
        <v>38</v>
      </c>
      <c r="E23" s="105" t="s">
        <v>106</v>
      </c>
      <c r="F23" s="104" t="s">
        <v>43</v>
      </c>
      <c r="G23" s="105" t="str">
        <f t="shared" si="0"/>
        <v>ModificaciónDTFrontalAnalisis Codigo AnteriorMedia</v>
      </c>
      <c r="H23" s="104">
        <f t="shared" si="1"/>
        <v>0.75</v>
      </c>
      <c r="I23" s="104">
        <v>6</v>
      </c>
      <c r="J23" s="104"/>
      <c r="K23" s="104"/>
    </row>
    <row r="24" spans="1:11" x14ac:dyDescent="0.35">
      <c r="A24" s="2">
        <v>21</v>
      </c>
      <c r="B24" s="104" t="s">
        <v>41</v>
      </c>
      <c r="C24" s="104" t="s">
        <v>23</v>
      </c>
      <c r="D24" s="104" t="s">
        <v>38</v>
      </c>
      <c r="E24" s="105" t="s">
        <v>106</v>
      </c>
      <c r="F24" s="104" t="s">
        <v>42</v>
      </c>
      <c r="G24" s="105" t="str">
        <f t="shared" si="0"/>
        <v>ModificaciónDTFrontalAnalisis Codigo AnteriorAlta</v>
      </c>
      <c r="H24" s="104">
        <f t="shared" si="1"/>
        <v>1.25</v>
      </c>
      <c r="I24" s="104">
        <v>10</v>
      </c>
      <c r="J24" s="104"/>
      <c r="K24" s="104"/>
    </row>
    <row r="25" spans="1:11" x14ac:dyDescent="0.35">
      <c r="A25" s="2">
        <v>22</v>
      </c>
      <c r="B25" s="106" t="s">
        <v>41</v>
      </c>
      <c r="C25" s="106" t="s">
        <v>23</v>
      </c>
      <c r="D25" s="106" t="s">
        <v>38</v>
      </c>
      <c r="E25" s="107" t="s">
        <v>82</v>
      </c>
      <c r="F25" s="106" t="s">
        <v>44</v>
      </c>
      <c r="G25" s="107" t="str">
        <f t="shared" si="0"/>
        <v>ModificaciónDTFrontalAnalisis FuncionalBaja</v>
      </c>
      <c r="H25" s="106">
        <f t="shared" si="1"/>
        <v>0.25</v>
      </c>
      <c r="I25" s="106">
        <v>2</v>
      </c>
      <c r="J25" s="106"/>
      <c r="K25" s="106"/>
    </row>
    <row r="26" spans="1:11" x14ac:dyDescent="0.35">
      <c r="A26" s="2">
        <v>23</v>
      </c>
      <c r="B26" s="106" t="s">
        <v>41</v>
      </c>
      <c r="C26" s="106" t="s">
        <v>23</v>
      </c>
      <c r="D26" s="106" t="s">
        <v>38</v>
      </c>
      <c r="E26" s="107" t="s">
        <v>82</v>
      </c>
      <c r="F26" s="106" t="s">
        <v>43</v>
      </c>
      <c r="G26" s="107" t="str">
        <f t="shared" si="0"/>
        <v>ModificaciónDTFrontalAnalisis FuncionalMedia</v>
      </c>
      <c r="H26" s="106">
        <f t="shared" si="1"/>
        <v>0.5</v>
      </c>
      <c r="I26" s="106">
        <v>4</v>
      </c>
      <c r="J26" s="106"/>
      <c r="K26" s="106"/>
    </row>
    <row r="27" spans="1:11" x14ac:dyDescent="0.35">
      <c r="A27" s="2">
        <v>24</v>
      </c>
      <c r="B27" s="106" t="s">
        <v>41</v>
      </c>
      <c r="C27" s="106" t="s">
        <v>23</v>
      </c>
      <c r="D27" s="106" t="s">
        <v>38</v>
      </c>
      <c r="E27" s="107" t="s">
        <v>82</v>
      </c>
      <c r="F27" s="106" t="s">
        <v>42</v>
      </c>
      <c r="G27" s="107" t="str">
        <f t="shared" si="0"/>
        <v>ModificaciónDTFrontalAnalisis FuncionalAlta</v>
      </c>
      <c r="H27" s="106">
        <f t="shared" si="1"/>
        <v>0.625</v>
      </c>
      <c r="I27" s="106">
        <v>5</v>
      </c>
      <c r="J27" s="106"/>
      <c r="K27" s="106"/>
    </row>
    <row r="28" spans="1:11" x14ac:dyDescent="0.35">
      <c r="A28" s="2">
        <v>25</v>
      </c>
      <c r="B28" s="104" t="s">
        <v>41</v>
      </c>
      <c r="C28" s="104" t="s">
        <v>23</v>
      </c>
      <c r="D28" s="104" t="s">
        <v>38</v>
      </c>
      <c r="E28" s="105" t="s">
        <v>96</v>
      </c>
      <c r="F28" s="104" t="s">
        <v>44</v>
      </c>
      <c r="G28" s="105" t="str">
        <f t="shared" si="0"/>
        <v>ModificaciónDTFrontalDocumentacion codigoBaja</v>
      </c>
      <c r="H28" s="104">
        <f t="shared" si="1"/>
        <v>6.25E-2</v>
      </c>
      <c r="I28" s="104">
        <v>0.5</v>
      </c>
      <c r="J28" s="104"/>
      <c r="K28" s="104"/>
    </row>
    <row r="29" spans="1:11" x14ac:dyDescent="0.35">
      <c r="A29" s="2">
        <v>26</v>
      </c>
      <c r="B29" s="104" t="s">
        <v>41</v>
      </c>
      <c r="C29" s="104" t="s">
        <v>23</v>
      </c>
      <c r="D29" s="104" t="s">
        <v>38</v>
      </c>
      <c r="E29" s="105" t="s">
        <v>96</v>
      </c>
      <c r="F29" s="104" t="s">
        <v>43</v>
      </c>
      <c r="G29" s="105" t="str">
        <f t="shared" si="0"/>
        <v>ModificaciónDTFrontalDocumentacion codigoMedia</v>
      </c>
      <c r="H29" s="104">
        <f t="shared" si="1"/>
        <v>0.25</v>
      </c>
      <c r="I29" s="104">
        <v>2</v>
      </c>
      <c r="J29" s="104"/>
      <c r="K29" s="104"/>
    </row>
    <row r="30" spans="1:11" x14ac:dyDescent="0.35">
      <c r="A30" s="2">
        <v>27</v>
      </c>
      <c r="B30" s="104" t="s">
        <v>41</v>
      </c>
      <c r="C30" s="104" t="s">
        <v>23</v>
      </c>
      <c r="D30" s="104" t="s">
        <v>38</v>
      </c>
      <c r="E30" s="105" t="s">
        <v>96</v>
      </c>
      <c r="F30" s="104" t="s">
        <v>42</v>
      </c>
      <c r="G30" s="105" t="str">
        <f t="shared" si="0"/>
        <v>ModificaciónDTFrontalDocumentacion codigoAlta</v>
      </c>
      <c r="H30" s="104">
        <f t="shared" si="1"/>
        <v>0.5</v>
      </c>
      <c r="I30" s="104">
        <v>4</v>
      </c>
      <c r="J30" s="104"/>
      <c r="K30" s="104"/>
    </row>
    <row r="31" spans="1:11" x14ac:dyDescent="0.35">
      <c r="A31" s="2">
        <v>28</v>
      </c>
      <c r="B31" s="106" t="s">
        <v>41</v>
      </c>
      <c r="C31" s="106" t="s">
        <v>23</v>
      </c>
      <c r="D31" s="106" t="s">
        <v>62</v>
      </c>
      <c r="E31" s="107" t="s">
        <v>87</v>
      </c>
      <c r="F31" s="106" t="s">
        <v>44</v>
      </c>
      <c r="G31" s="107" t="str">
        <f t="shared" si="0"/>
        <v>ModificaciónDTAPIAnalizar ApiBaja</v>
      </c>
      <c r="H31" s="106">
        <f t="shared" si="1"/>
        <v>0.375</v>
      </c>
      <c r="I31" s="106">
        <v>3</v>
      </c>
      <c r="J31" s="106"/>
      <c r="K31" s="106"/>
    </row>
    <row r="32" spans="1:11" x14ac:dyDescent="0.35">
      <c r="A32" s="2">
        <v>29</v>
      </c>
      <c r="B32" s="106" t="s">
        <v>41</v>
      </c>
      <c r="C32" s="106" t="s">
        <v>23</v>
      </c>
      <c r="D32" s="106" t="s">
        <v>62</v>
      </c>
      <c r="E32" s="107" t="s">
        <v>87</v>
      </c>
      <c r="F32" s="106" t="s">
        <v>43</v>
      </c>
      <c r="G32" s="107" t="str">
        <f t="shared" si="0"/>
        <v>ModificaciónDTAPIAnalizar ApiMedia</v>
      </c>
      <c r="H32" s="106">
        <f t="shared" si="1"/>
        <v>0.75</v>
      </c>
      <c r="I32" s="106">
        <v>6</v>
      </c>
      <c r="J32" s="106"/>
      <c r="K32" s="106"/>
    </row>
    <row r="33" spans="1:12" x14ac:dyDescent="0.35">
      <c r="A33" s="2">
        <v>30</v>
      </c>
      <c r="B33" s="106" t="s">
        <v>41</v>
      </c>
      <c r="C33" s="106" t="s">
        <v>23</v>
      </c>
      <c r="D33" s="106" t="s">
        <v>62</v>
      </c>
      <c r="E33" s="107" t="s">
        <v>87</v>
      </c>
      <c r="F33" s="106" t="s">
        <v>42</v>
      </c>
      <c r="G33" s="107" t="str">
        <f t="shared" si="0"/>
        <v>ModificaciónDTAPIAnalizar ApiAlta</v>
      </c>
      <c r="H33" s="106">
        <f t="shared" si="1"/>
        <v>1</v>
      </c>
      <c r="I33" s="106">
        <v>8</v>
      </c>
      <c r="J33" s="106"/>
      <c r="K33" s="106"/>
    </row>
    <row r="34" spans="1:12" x14ac:dyDescent="0.35">
      <c r="A34" s="2">
        <v>31</v>
      </c>
      <c r="B34" s="104" t="s">
        <v>41</v>
      </c>
      <c r="C34" s="104" t="s">
        <v>23</v>
      </c>
      <c r="D34" s="104" t="s">
        <v>62</v>
      </c>
      <c r="E34" s="105" t="s">
        <v>96</v>
      </c>
      <c r="F34" s="104" t="s">
        <v>44</v>
      </c>
      <c r="G34" s="105" t="str">
        <f t="shared" si="0"/>
        <v>ModificaciónDTAPIDocumentacion codigoBaja</v>
      </c>
      <c r="H34" s="104">
        <f t="shared" si="1"/>
        <v>0.25</v>
      </c>
      <c r="I34" s="104">
        <v>2</v>
      </c>
      <c r="J34" s="104"/>
      <c r="K34" s="104"/>
      <c r="L34" s="48"/>
    </row>
    <row r="35" spans="1:12" x14ac:dyDescent="0.35">
      <c r="A35" s="2">
        <v>32</v>
      </c>
      <c r="B35" s="104" t="s">
        <v>41</v>
      </c>
      <c r="C35" s="104" t="s">
        <v>23</v>
      </c>
      <c r="D35" s="104" t="s">
        <v>62</v>
      </c>
      <c r="E35" s="105" t="s">
        <v>96</v>
      </c>
      <c r="F35" s="104" t="s">
        <v>43</v>
      </c>
      <c r="G35" s="105" t="str">
        <f t="shared" si="0"/>
        <v>ModificaciónDTAPIDocumentacion codigoMedia</v>
      </c>
      <c r="H35" s="104">
        <f t="shared" si="1"/>
        <v>0.5</v>
      </c>
      <c r="I35" s="104">
        <v>4</v>
      </c>
      <c r="J35" s="104"/>
      <c r="K35" s="104"/>
      <c r="L35" s="48"/>
    </row>
    <row r="36" spans="1:12" x14ac:dyDescent="0.35">
      <c r="A36" s="2">
        <v>33</v>
      </c>
      <c r="B36" s="104" t="s">
        <v>41</v>
      </c>
      <c r="C36" s="104" t="s">
        <v>23</v>
      </c>
      <c r="D36" s="104" t="s">
        <v>62</v>
      </c>
      <c r="E36" s="105" t="s">
        <v>96</v>
      </c>
      <c r="F36" s="104" t="s">
        <v>42</v>
      </c>
      <c r="G36" s="105" t="str">
        <f t="shared" si="0"/>
        <v>ModificaciónDTAPIDocumentacion codigoAlta</v>
      </c>
      <c r="H36" s="104">
        <f t="shared" si="1"/>
        <v>0.75</v>
      </c>
      <c r="I36" s="104">
        <v>6</v>
      </c>
      <c r="J36" s="104"/>
      <c r="K36" s="104"/>
      <c r="L36" s="48"/>
    </row>
    <row r="37" spans="1:12" x14ac:dyDescent="0.35">
      <c r="A37" s="2">
        <v>34</v>
      </c>
      <c r="B37" s="106" t="s">
        <v>41</v>
      </c>
      <c r="C37" s="106" t="s">
        <v>23</v>
      </c>
      <c r="D37" s="106" t="s">
        <v>62</v>
      </c>
      <c r="E37" s="107" t="s">
        <v>98</v>
      </c>
      <c r="F37" s="106" t="s">
        <v>44</v>
      </c>
      <c r="G37" s="107" t="str">
        <f t="shared" si="0"/>
        <v>ModificaciónDTAPIDocumentacion Funcional APIBaja</v>
      </c>
      <c r="H37" s="106">
        <f t="shared" si="1"/>
        <v>0.125</v>
      </c>
      <c r="I37" s="106">
        <v>1</v>
      </c>
      <c r="J37" s="106"/>
      <c r="K37" s="106"/>
      <c r="L37" s="48"/>
    </row>
    <row r="38" spans="1:12" x14ac:dyDescent="0.35">
      <c r="A38" s="2">
        <v>35</v>
      </c>
      <c r="B38" s="106" t="s">
        <v>41</v>
      </c>
      <c r="C38" s="106" t="s">
        <v>23</v>
      </c>
      <c r="D38" s="106" t="s">
        <v>62</v>
      </c>
      <c r="E38" s="107" t="s">
        <v>98</v>
      </c>
      <c r="F38" s="106" t="s">
        <v>43</v>
      </c>
      <c r="G38" s="107" t="str">
        <f t="shared" si="0"/>
        <v>ModificaciónDTAPIDocumentacion Funcional APIMedia</v>
      </c>
      <c r="H38" s="106">
        <f t="shared" si="1"/>
        <v>0.25</v>
      </c>
      <c r="I38" s="106">
        <v>2</v>
      </c>
      <c r="J38" s="106"/>
      <c r="K38" s="106"/>
      <c r="L38" s="48"/>
    </row>
    <row r="39" spans="1:12" x14ac:dyDescent="0.35">
      <c r="A39" s="2">
        <v>36</v>
      </c>
      <c r="B39" s="106" t="s">
        <v>41</v>
      </c>
      <c r="C39" s="106" t="s">
        <v>23</v>
      </c>
      <c r="D39" s="106" t="s">
        <v>62</v>
      </c>
      <c r="E39" s="107" t="s">
        <v>98</v>
      </c>
      <c r="F39" s="106" t="s">
        <v>42</v>
      </c>
      <c r="G39" s="107" t="str">
        <f t="shared" si="0"/>
        <v>ModificaciónDTAPIDocumentacion Funcional APIAlta</v>
      </c>
      <c r="H39" s="106">
        <f t="shared" si="1"/>
        <v>0.75</v>
      </c>
      <c r="I39" s="106">
        <v>6</v>
      </c>
      <c r="J39" s="106"/>
      <c r="K39" s="106"/>
      <c r="L39" s="48"/>
    </row>
    <row r="40" spans="1:12" x14ac:dyDescent="0.35">
      <c r="A40" s="2">
        <v>37</v>
      </c>
      <c r="B40" s="104" t="s">
        <v>41</v>
      </c>
      <c r="C40" s="104" t="s">
        <v>23</v>
      </c>
      <c r="D40" s="104" t="s">
        <v>39</v>
      </c>
      <c r="E40" s="105" t="s">
        <v>86</v>
      </c>
      <c r="F40" s="104" t="s">
        <v>44</v>
      </c>
      <c r="G40" s="105" t="str">
        <f t="shared" si="0"/>
        <v>ModificaciónDTGeneralAnalizarBaja</v>
      </c>
      <c r="H40" s="104">
        <f t="shared" si="1"/>
        <v>0.375</v>
      </c>
      <c r="I40" s="104">
        <v>3</v>
      </c>
      <c r="J40" s="104"/>
      <c r="K40" s="104"/>
      <c r="L40" s="48"/>
    </row>
    <row r="41" spans="1:12" x14ac:dyDescent="0.35">
      <c r="A41" s="2">
        <v>38</v>
      </c>
      <c r="B41" s="104" t="s">
        <v>41</v>
      </c>
      <c r="C41" s="104" t="s">
        <v>23</v>
      </c>
      <c r="D41" s="104" t="s">
        <v>39</v>
      </c>
      <c r="E41" s="105" t="s">
        <v>86</v>
      </c>
      <c r="F41" s="104" t="s">
        <v>43</v>
      </c>
      <c r="G41" s="105" t="str">
        <f>CONCATENATE(B41,C41,D41,E41,F41)</f>
        <v>ModificaciónDTGeneralAnalizarMedia</v>
      </c>
      <c r="H41" s="104">
        <f t="shared" si="1"/>
        <v>0.875</v>
      </c>
      <c r="I41" s="104">
        <v>7</v>
      </c>
      <c r="J41" s="104"/>
      <c r="K41" s="104"/>
      <c r="L41" s="48"/>
    </row>
    <row r="42" spans="1:12" x14ac:dyDescent="0.35">
      <c r="A42" s="2">
        <v>39</v>
      </c>
      <c r="B42" s="104" t="s">
        <v>41</v>
      </c>
      <c r="C42" s="104" t="s">
        <v>23</v>
      </c>
      <c r="D42" s="104" t="s">
        <v>39</v>
      </c>
      <c r="E42" s="105" t="s">
        <v>86</v>
      </c>
      <c r="F42" s="104" t="s">
        <v>42</v>
      </c>
      <c r="G42" s="105" t="str">
        <f>CONCATENATE(B42,C42,D42,E42,F42)</f>
        <v>ModificaciónDTGeneralAnalizarAlta</v>
      </c>
      <c r="H42" s="104">
        <f t="shared" si="1"/>
        <v>1.375</v>
      </c>
      <c r="I42" s="104">
        <v>11</v>
      </c>
      <c r="J42" s="104"/>
      <c r="K42" s="104"/>
      <c r="L42" s="48"/>
    </row>
    <row r="43" spans="1:12" x14ac:dyDescent="0.35">
      <c r="A43" s="2">
        <v>40</v>
      </c>
      <c r="B43" s="106" t="s">
        <v>41</v>
      </c>
      <c r="C43" s="106" t="s">
        <v>23</v>
      </c>
      <c r="D43" s="106" t="s">
        <v>39</v>
      </c>
      <c r="E43" s="107" t="s">
        <v>84</v>
      </c>
      <c r="F43" s="106" t="s">
        <v>44</v>
      </c>
      <c r="G43" s="107" t="str">
        <f t="shared" ref="G43:G45" si="2">CONCATENATE(B43,C43,D43,E43,F43)</f>
        <v>ModificaciónDTGeneralDocumentarBaja</v>
      </c>
      <c r="H43" s="106">
        <f t="shared" si="1"/>
        <v>0.125</v>
      </c>
      <c r="I43" s="106">
        <v>1</v>
      </c>
      <c r="J43" s="106"/>
      <c r="K43" s="106"/>
      <c r="L43" s="48"/>
    </row>
    <row r="44" spans="1:12" x14ac:dyDescent="0.35">
      <c r="A44" s="2">
        <v>41</v>
      </c>
      <c r="B44" s="106" t="s">
        <v>41</v>
      </c>
      <c r="C44" s="106" t="s">
        <v>23</v>
      </c>
      <c r="D44" s="106" t="s">
        <v>39</v>
      </c>
      <c r="E44" s="107" t="s">
        <v>84</v>
      </c>
      <c r="F44" s="106" t="s">
        <v>43</v>
      </c>
      <c r="G44" s="107" t="str">
        <f t="shared" si="2"/>
        <v>ModificaciónDTGeneralDocumentarMedia</v>
      </c>
      <c r="H44" s="106">
        <f t="shared" si="1"/>
        <v>0.375</v>
      </c>
      <c r="I44" s="106">
        <v>3</v>
      </c>
      <c r="J44" s="106"/>
      <c r="K44" s="106"/>
      <c r="L44" s="48"/>
    </row>
    <row r="45" spans="1:12" x14ac:dyDescent="0.35">
      <c r="A45" s="2">
        <v>42</v>
      </c>
      <c r="B45" s="106" t="s">
        <v>41</v>
      </c>
      <c r="C45" s="106" t="s">
        <v>23</v>
      </c>
      <c r="D45" s="106" t="s">
        <v>39</v>
      </c>
      <c r="E45" s="107" t="s">
        <v>84</v>
      </c>
      <c r="F45" s="106" t="s">
        <v>42</v>
      </c>
      <c r="G45" s="107" t="str">
        <f t="shared" si="2"/>
        <v>ModificaciónDTGeneralDocumentarAlta</v>
      </c>
      <c r="H45" s="106">
        <f t="shared" si="1"/>
        <v>0.625</v>
      </c>
      <c r="I45" s="106">
        <v>5</v>
      </c>
      <c r="J45" s="106"/>
      <c r="K45" s="106"/>
      <c r="L45" s="48"/>
    </row>
    <row r="46" spans="1:12" x14ac:dyDescent="0.35">
      <c r="A46" s="2">
        <v>43</v>
      </c>
      <c r="B46" s="104" t="s">
        <v>41</v>
      </c>
      <c r="C46" s="104" t="s">
        <v>24</v>
      </c>
      <c r="D46" s="104" t="s">
        <v>37</v>
      </c>
      <c r="E46" s="105" t="s">
        <v>56</v>
      </c>
      <c r="F46" s="104" t="s">
        <v>44</v>
      </c>
      <c r="G46" s="105" t="str">
        <f t="shared" si="0"/>
        <v>ModificaciónCTCoreServicioBaja</v>
      </c>
      <c r="H46" s="104">
        <f t="shared" si="1"/>
        <v>0.1875</v>
      </c>
      <c r="I46" s="104">
        <v>1.5</v>
      </c>
      <c r="J46" s="104"/>
      <c r="K46" s="104"/>
      <c r="L46" s="48"/>
    </row>
    <row r="47" spans="1:12" x14ac:dyDescent="0.35">
      <c r="A47" s="2">
        <v>44</v>
      </c>
      <c r="B47" s="104" t="s">
        <v>41</v>
      </c>
      <c r="C47" s="104" t="s">
        <v>24</v>
      </c>
      <c r="D47" s="104" t="s">
        <v>37</v>
      </c>
      <c r="E47" s="105" t="s">
        <v>56</v>
      </c>
      <c r="F47" s="104" t="s">
        <v>43</v>
      </c>
      <c r="G47" s="105" t="str">
        <f t="shared" si="0"/>
        <v>ModificaciónCTCoreServicioMedia</v>
      </c>
      <c r="H47" s="104">
        <f t="shared" si="1"/>
        <v>0.375</v>
      </c>
      <c r="I47" s="104">
        <v>3</v>
      </c>
      <c r="J47" s="104"/>
      <c r="K47" s="104"/>
      <c r="L47" s="48"/>
    </row>
    <row r="48" spans="1:12" x14ac:dyDescent="0.35">
      <c r="A48" s="2">
        <v>45</v>
      </c>
      <c r="B48" s="104" t="s">
        <v>41</v>
      </c>
      <c r="C48" s="104" t="s">
        <v>24</v>
      </c>
      <c r="D48" s="104" t="s">
        <v>37</v>
      </c>
      <c r="E48" s="105" t="s">
        <v>56</v>
      </c>
      <c r="F48" s="104" t="s">
        <v>42</v>
      </c>
      <c r="G48" s="105" t="str">
        <f t="shared" si="0"/>
        <v>ModificaciónCTCoreServicioAlta</v>
      </c>
      <c r="H48" s="104">
        <f t="shared" si="1"/>
        <v>0.75</v>
      </c>
      <c r="I48" s="104">
        <v>6</v>
      </c>
      <c r="J48" s="104"/>
      <c r="K48" s="104"/>
      <c r="L48" s="48"/>
    </row>
    <row r="49" spans="1:12" x14ac:dyDescent="0.35">
      <c r="A49" s="2">
        <v>46</v>
      </c>
      <c r="B49" s="106" t="s">
        <v>41</v>
      </c>
      <c r="C49" s="106" t="s">
        <v>24</v>
      </c>
      <c r="D49" s="106" t="s">
        <v>37</v>
      </c>
      <c r="E49" s="107" t="s">
        <v>57</v>
      </c>
      <c r="F49" s="106" t="s">
        <v>44</v>
      </c>
      <c r="G49" s="107" t="str">
        <f t="shared" si="0"/>
        <v>ModificaciónCTCoreDAOBaja</v>
      </c>
      <c r="H49" s="106">
        <f t="shared" si="1"/>
        <v>0.375</v>
      </c>
      <c r="I49" s="106">
        <v>3</v>
      </c>
      <c r="J49" s="106"/>
      <c r="K49" s="106"/>
      <c r="L49" s="48"/>
    </row>
    <row r="50" spans="1:12" x14ac:dyDescent="0.35">
      <c r="A50" s="2">
        <v>47</v>
      </c>
      <c r="B50" s="106" t="s">
        <v>41</v>
      </c>
      <c r="C50" s="106" t="s">
        <v>24</v>
      </c>
      <c r="D50" s="106" t="s">
        <v>37</v>
      </c>
      <c r="E50" s="107" t="s">
        <v>57</v>
      </c>
      <c r="F50" s="106" t="s">
        <v>43</v>
      </c>
      <c r="G50" s="107" t="str">
        <f t="shared" si="0"/>
        <v>ModificaciónCTCoreDAOMedia</v>
      </c>
      <c r="H50" s="106">
        <f t="shared" si="1"/>
        <v>0.75</v>
      </c>
      <c r="I50" s="106">
        <v>6</v>
      </c>
      <c r="J50" s="106"/>
      <c r="K50" s="106"/>
      <c r="L50" s="48"/>
    </row>
    <row r="51" spans="1:12" x14ac:dyDescent="0.35">
      <c r="A51" s="2">
        <v>48</v>
      </c>
      <c r="B51" s="106" t="s">
        <v>41</v>
      </c>
      <c r="C51" s="106" t="s">
        <v>24</v>
      </c>
      <c r="D51" s="106" t="s">
        <v>37</v>
      </c>
      <c r="E51" s="107" t="s">
        <v>57</v>
      </c>
      <c r="F51" s="106" t="s">
        <v>42</v>
      </c>
      <c r="G51" s="107" t="str">
        <f t="shared" si="0"/>
        <v>ModificaciónCTCoreDAOAlta</v>
      </c>
      <c r="H51" s="106">
        <f t="shared" si="1"/>
        <v>1.125</v>
      </c>
      <c r="I51" s="106">
        <v>9</v>
      </c>
      <c r="J51" s="106"/>
      <c r="K51" s="106"/>
      <c r="L51" s="48"/>
    </row>
    <row r="52" spans="1:12" x14ac:dyDescent="0.35">
      <c r="A52" s="2">
        <v>49</v>
      </c>
      <c r="B52" s="104" t="s">
        <v>41</v>
      </c>
      <c r="C52" s="104" t="s">
        <v>24</v>
      </c>
      <c r="D52" s="104" t="s">
        <v>37</v>
      </c>
      <c r="E52" s="105" t="s">
        <v>65</v>
      </c>
      <c r="F52" s="104" t="s">
        <v>44</v>
      </c>
      <c r="G52" s="105" t="str">
        <f t="shared" ref="G52:G54" si="3">CONCATENATE(B52,C52,D52,E52,F52)</f>
        <v>ModificaciónCTCoreBOBaja</v>
      </c>
      <c r="H52" s="104">
        <f t="shared" si="1"/>
        <v>3.125E-2</v>
      </c>
      <c r="I52" s="104">
        <v>0.25</v>
      </c>
      <c r="J52" s="104"/>
      <c r="K52" s="104"/>
      <c r="L52" s="48"/>
    </row>
    <row r="53" spans="1:12" x14ac:dyDescent="0.35">
      <c r="A53" s="2">
        <v>50</v>
      </c>
      <c r="B53" s="104" t="s">
        <v>41</v>
      </c>
      <c r="C53" s="104" t="s">
        <v>24</v>
      </c>
      <c r="D53" s="104" t="s">
        <v>37</v>
      </c>
      <c r="E53" s="105" t="s">
        <v>65</v>
      </c>
      <c r="F53" s="104" t="s">
        <v>43</v>
      </c>
      <c r="G53" s="105" t="str">
        <f t="shared" si="3"/>
        <v>ModificaciónCTCoreBOMedia</v>
      </c>
      <c r="H53" s="104">
        <f t="shared" si="1"/>
        <v>6.25E-2</v>
      </c>
      <c r="I53" s="104">
        <v>0.5</v>
      </c>
      <c r="J53" s="104"/>
      <c r="K53" s="104"/>
      <c r="L53" s="48"/>
    </row>
    <row r="54" spans="1:12" x14ac:dyDescent="0.35">
      <c r="A54" s="2">
        <v>51</v>
      </c>
      <c r="B54" s="104" t="s">
        <v>41</v>
      </c>
      <c r="C54" s="104" t="s">
        <v>24</v>
      </c>
      <c r="D54" s="104" t="s">
        <v>37</v>
      </c>
      <c r="E54" s="105" t="s">
        <v>65</v>
      </c>
      <c r="F54" s="104" t="s">
        <v>42</v>
      </c>
      <c r="G54" s="105" t="str">
        <f t="shared" si="3"/>
        <v>ModificaciónCTCoreBOAlta</v>
      </c>
      <c r="H54" s="104">
        <f t="shared" si="1"/>
        <v>0.125</v>
      </c>
      <c r="I54" s="104">
        <v>1</v>
      </c>
      <c r="J54" s="104"/>
      <c r="K54" s="104"/>
      <c r="L54" s="48"/>
    </row>
    <row r="55" spans="1:12" x14ac:dyDescent="0.35">
      <c r="A55" s="2">
        <v>52</v>
      </c>
      <c r="B55" s="106" t="s">
        <v>41</v>
      </c>
      <c r="C55" s="106" t="s">
        <v>24</v>
      </c>
      <c r="D55" s="106" t="s">
        <v>37</v>
      </c>
      <c r="E55" s="107" t="s">
        <v>66</v>
      </c>
      <c r="F55" s="106" t="s">
        <v>44</v>
      </c>
      <c r="G55" s="107" t="str">
        <f t="shared" si="0"/>
        <v>ModificaciónCTCoreJASPERBaja</v>
      </c>
      <c r="H55" s="106">
        <f t="shared" si="1"/>
        <v>0.5</v>
      </c>
      <c r="I55" s="106">
        <v>4</v>
      </c>
      <c r="J55" s="106"/>
      <c r="K55" s="106"/>
      <c r="L55" s="48"/>
    </row>
    <row r="56" spans="1:12" x14ac:dyDescent="0.35">
      <c r="A56" s="2">
        <v>53</v>
      </c>
      <c r="B56" s="106" t="s">
        <v>41</v>
      </c>
      <c r="C56" s="106" t="s">
        <v>24</v>
      </c>
      <c r="D56" s="106" t="s">
        <v>37</v>
      </c>
      <c r="E56" s="107" t="s">
        <v>66</v>
      </c>
      <c r="F56" s="106" t="s">
        <v>43</v>
      </c>
      <c r="G56" s="107" t="str">
        <f t="shared" si="0"/>
        <v>ModificaciónCTCoreJASPERMedia</v>
      </c>
      <c r="H56" s="106">
        <f t="shared" si="1"/>
        <v>1</v>
      </c>
      <c r="I56" s="106">
        <v>8</v>
      </c>
      <c r="J56" s="106"/>
      <c r="K56" s="106"/>
      <c r="L56" s="48"/>
    </row>
    <row r="57" spans="1:12" x14ac:dyDescent="0.35">
      <c r="A57" s="2">
        <v>54</v>
      </c>
      <c r="B57" s="106" t="s">
        <v>41</v>
      </c>
      <c r="C57" s="106" t="s">
        <v>24</v>
      </c>
      <c r="D57" s="106" t="s">
        <v>37</v>
      </c>
      <c r="E57" s="107" t="s">
        <v>66</v>
      </c>
      <c r="F57" s="106" t="s">
        <v>42</v>
      </c>
      <c r="G57" s="107" t="str">
        <f t="shared" si="0"/>
        <v>ModificaciónCTCoreJASPERAlta</v>
      </c>
      <c r="H57" s="106">
        <f t="shared" si="1"/>
        <v>1.5</v>
      </c>
      <c r="I57" s="106">
        <v>12</v>
      </c>
      <c r="J57" s="106"/>
      <c r="K57" s="106"/>
      <c r="L57" s="48"/>
    </row>
    <row r="58" spans="1:12" x14ac:dyDescent="0.35">
      <c r="A58" s="2">
        <v>55</v>
      </c>
      <c r="B58" s="104" t="s">
        <v>41</v>
      </c>
      <c r="C58" s="104" t="s">
        <v>24</v>
      </c>
      <c r="D58" s="104" t="s">
        <v>37</v>
      </c>
      <c r="E58" s="105" t="s">
        <v>67</v>
      </c>
      <c r="F58" s="104" t="s">
        <v>44</v>
      </c>
      <c r="G58" s="105" t="str">
        <f t="shared" si="0"/>
        <v>ModificaciónCTCorePOIBaja</v>
      </c>
      <c r="H58" s="104">
        <f t="shared" si="1"/>
        <v>0.5</v>
      </c>
      <c r="I58" s="104">
        <v>4</v>
      </c>
      <c r="J58" s="104"/>
      <c r="K58" s="104"/>
      <c r="L58" s="48"/>
    </row>
    <row r="59" spans="1:12" x14ac:dyDescent="0.35">
      <c r="A59" s="2">
        <v>56</v>
      </c>
      <c r="B59" s="104" t="s">
        <v>41</v>
      </c>
      <c r="C59" s="104" t="s">
        <v>24</v>
      </c>
      <c r="D59" s="104" t="s">
        <v>37</v>
      </c>
      <c r="E59" s="105" t="s">
        <v>67</v>
      </c>
      <c r="F59" s="104" t="s">
        <v>43</v>
      </c>
      <c r="G59" s="105" t="str">
        <f t="shared" si="0"/>
        <v>ModificaciónCTCorePOIMedia</v>
      </c>
      <c r="H59" s="104">
        <f t="shared" si="1"/>
        <v>1</v>
      </c>
      <c r="I59" s="104">
        <v>8</v>
      </c>
      <c r="J59" s="104"/>
      <c r="K59" s="104"/>
      <c r="L59" s="48"/>
    </row>
    <row r="60" spans="1:12" x14ac:dyDescent="0.35">
      <c r="A60" s="2">
        <v>57</v>
      </c>
      <c r="B60" s="104" t="s">
        <v>41</v>
      </c>
      <c r="C60" s="104" t="s">
        <v>24</v>
      </c>
      <c r="D60" s="104" t="s">
        <v>37</v>
      </c>
      <c r="E60" s="105" t="s">
        <v>67</v>
      </c>
      <c r="F60" s="104" t="s">
        <v>42</v>
      </c>
      <c r="G60" s="105" t="str">
        <f t="shared" si="0"/>
        <v>ModificaciónCTCorePOIAlta</v>
      </c>
      <c r="H60" s="104">
        <f t="shared" si="1"/>
        <v>1.5</v>
      </c>
      <c r="I60" s="104">
        <v>12</v>
      </c>
      <c r="J60" s="104"/>
      <c r="K60" s="104"/>
      <c r="L60" s="48"/>
    </row>
    <row r="61" spans="1:12" x14ac:dyDescent="0.35">
      <c r="A61" s="2">
        <v>58</v>
      </c>
      <c r="B61" s="106" t="s">
        <v>41</v>
      </c>
      <c r="C61" s="106" t="s">
        <v>24</v>
      </c>
      <c r="D61" s="106" t="s">
        <v>37</v>
      </c>
      <c r="E61" s="107" t="s">
        <v>69</v>
      </c>
      <c r="F61" s="106" t="s">
        <v>44</v>
      </c>
      <c r="G61" s="107" t="str">
        <f>CONCATENATE(B61,C61,D61,E61,F61)</f>
        <v>ModificaciónCTCoreJUNITBaja</v>
      </c>
      <c r="H61" s="106">
        <f t="shared" si="1"/>
        <v>0.125</v>
      </c>
      <c r="I61" s="106">
        <v>1</v>
      </c>
      <c r="J61" s="106"/>
      <c r="K61" s="106"/>
      <c r="L61" s="48"/>
    </row>
    <row r="62" spans="1:12" x14ac:dyDescent="0.35">
      <c r="A62" s="2">
        <v>59</v>
      </c>
      <c r="B62" s="106" t="s">
        <v>41</v>
      </c>
      <c r="C62" s="106" t="s">
        <v>24</v>
      </c>
      <c r="D62" s="106" t="s">
        <v>37</v>
      </c>
      <c r="E62" s="107" t="s">
        <v>69</v>
      </c>
      <c r="F62" s="106" t="s">
        <v>43</v>
      </c>
      <c r="G62" s="107" t="str">
        <f>CONCATENATE(B62,C62,D62,E62,F62)</f>
        <v>ModificaciónCTCoreJUNITMedia</v>
      </c>
      <c r="H62" s="106">
        <f t="shared" si="1"/>
        <v>0.375</v>
      </c>
      <c r="I62" s="106">
        <v>3</v>
      </c>
      <c r="J62" s="106"/>
      <c r="K62" s="106"/>
      <c r="L62" s="48"/>
    </row>
    <row r="63" spans="1:12" x14ac:dyDescent="0.35">
      <c r="A63" s="2">
        <v>60</v>
      </c>
      <c r="B63" s="106" t="s">
        <v>41</v>
      </c>
      <c r="C63" s="106" t="s">
        <v>24</v>
      </c>
      <c r="D63" s="106" t="s">
        <v>37</v>
      </c>
      <c r="E63" s="107" t="s">
        <v>69</v>
      </c>
      <c r="F63" s="106" t="s">
        <v>42</v>
      </c>
      <c r="G63" s="107" t="str">
        <f t="shared" ref="G63" si="4">CONCATENATE(B63,C63,D63,E63,F63)</f>
        <v>ModificaciónCTCoreJUNITAlta</v>
      </c>
      <c r="H63" s="106">
        <f t="shared" si="1"/>
        <v>0.75</v>
      </c>
      <c r="I63" s="106">
        <v>6</v>
      </c>
      <c r="J63" s="106"/>
      <c r="K63" s="106"/>
      <c r="L63" s="48"/>
    </row>
    <row r="64" spans="1:12" x14ac:dyDescent="0.35">
      <c r="A64" s="2">
        <v>61</v>
      </c>
      <c r="B64" s="104" t="s">
        <v>41</v>
      </c>
      <c r="C64" s="104" t="s">
        <v>24</v>
      </c>
      <c r="D64" s="104" t="s">
        <v>37</v>
      </c>
      <c r="E64" s="105" t="s">
        <v>97</v>
      </c>
      <c r="F64" s="104" t="s">
        <v>44</v>
      </c>
      <c r="G64" s="105" t="str">
        <f t="shared" ref="G64:G66" si="5">CONCATENATE(B64,C64,D64,E64,F64)</f>
        <v>ModificaciónCTCoreRefactor codigoBaja</v>
      </c>
      <c r="H64" s="104">
        <f t="shared" si="1"/>
        <v>0.5</v>
      </c>
      <c r="I64" s="104">
        <v>4</v>
      </c>
      <c r="J64" s="104"/>
      <c r="K64" s="104"/>
      <c r="L64" s="48"/>
    </row>
    <row r="65" spans="1:14" x14ac:dyDescent="0.35">
      <c r="A65" s="2">
        <v>62</v>
      </c>
      <c r="B65" s="104" t="s">
        <v>41</v>
      </c>
      <c r="C65" s="104" t="s">
        <v>24</v>
      </c>
      <c r="D65" s="104" t="s">
        <v>37</v>
      </c>
      <c r="E65" s="105" t="s">
        <v>97</v>
      </c>
      <c r="F65" s="104" t="s">
        <v>43</v>
      </c>
      <c r="G65" s="105" t="str">
        <f t="shared" si="5"/>
        <v>ModificaciónCTCoreRefactor codigoMedia</v>
      </c>
      <c r="H65" s="104">
        <f t="shared" si="1"/>
        <v>1</v>
      </c>
      <c r="I65" s="104">
        <v>8</v>
      </c>
      <c r="J65" s="104"/>
      <c r="K65" s="104"/>
      <c r="L65" s="48"/>
    </row>
    <row r="66" spans="1:14" x14ac:dyDescent="0.35">
      <c r="A66" s="2">
        <v>63</v>
      </c>
      <c r="B66" s="104" t="s">
        <v>41</v>
      </c>
      <c r="C66" s="104" t="s">
        <v>24</v>
      </c>
      <c r="D66" s="104" t="s">
        <v>37</v>
      </c>
      <c r="E66" s="105" t="s">
        <v>97</v>
      </c>
      <c r="F66" s="104" t="s">
        <v>42</v>
      </c>
      <c r="G66" s="105" t="str">
        <f t="shared" si="5"/>
        <v>ModificaciónCTCoreRefactor codigoAlta</v>
      </c>
      <c r="H66" s="104">
        <f t="shared" si="1"/>
        <v>1.5</v>
      </c>
      <c r="I66" s="104">
        <v>12</v>
      </c>
      <c r="J66" s="104"/>
      <c r="K66" s="104"/>
      <c r="L66" s="48"/>
    </row>
    <row r="67" spans="1:14" x14ac:dyDescent="0.35">
      <c r="A67" s="2">
        <v>64</v>
      </c>
      <c r="B67" s="106" t="s">
        <v>41</v>
      </c>
      <c r="C67" s="106" t="s">
        <v>24</v>
      </c>
      <c r="D67" s="106" t="s">
        <v>62</v>
      </c>
      <c r="E67" s="107" t="s">
        <v>99</v>
      </c>
      <c r="F67" s="106" t="s">
        <v>44</v>
      </c>
      <c r="G67" s="107" t="str">
        <f t="shared" si="0"/>
        <v>ModificaciónCTAPIServicio APIBaja</v>
      </c>
      <c r="H67" s="106">
        <f t="shared" si="1"/>
        <v>0.25</v>
      </c>
      <c r="I67" s="106">
        <v>2</v>
      </c>
      <c r="J67" s="106"/>
      <c r="K67" s="106"/>
      <c r="L67" s="48"/>
    </row>
    <row r="68" spans="1:14" x14ac:dyDescent="0.35">
      <c r="A68" s="2">
        <v>65</v>
      </c>
      <c r="B68" s="106" t="s">
        <v>41</v>
      </c>
      <c r="C68" s="106" t="s">
        <v>24</v>
      </c>
      <c r="D68" s="106" t="s">
        <v>62</v>
      </c>
      <c r="E68" s="107" t="s">
        <v>99</v>
      </c>
      <c r="F68" s="106" t="s">
        <v>43</v>
      </c>
      <c r="G68" s="107" t="str">
        <f t="shared" si="0"/>
        <v>ModificaciónCTAPIServicio APIMedia</v>
      </c>
      <c r="H68" s="106">
        <f t="shared" ref="H68:H75" si="6">I68/8</f>
        <v>0.5</v>
      </c>
      <c r="I68" s="106">
        <v>4</v>
      </c>
      <c r="J68" s="106"/>
      <c r="K68" s="106"/>
      <c r="L68" s="48"/>
    </row>
    <row r="69" spans="1:14" x14ac:dyDescent="0.35">
      <c r="A69" s="2">
        <v>66</v>
      </c>
      <c r="B69" s="106" t="s">
        <v>41</v>
      </c>
      <c r="C69" s="106" t="s">
        <v>24</v>
      </c>
      <c r="D69" s="106" t="s">
        <v>62</v>
      </c>
      <c r="E69" s="107" t="s">
        <v>99</v>
      </c>
      <c r="F69" s="106" t="s">
        <v>42</v>
      </c>
      <c r="G69" s="107" t="str">
        <f t="shared" si="0"/>
        <v>ModificaciónCTAPIServicio APIAlta</v>
      </c>
      <c r="H69" s="106">
        <f t="shared" si="6"/>
        <v>0.75</v>
      </c>
      <c r="I69" s="106">
        <v>6</v>
      </c>
      <c r="J69" s="106"/>
      <c r="K69" s="106"/>
      <c r="L69" s="48"/>
    </row>
    <row r="70" spans="1:14" x14ac:dyDescent="0.35">
      <c r="A70" s="2">
        <v>67</v>
      </c>
      <c r="B70" s="104" t="s">
        <v>41</v>
      </c>
      <c r="C70" s="104" t="s">
        <v>24</v>
      </c>
      <c r="D70" s="104" t="s">
        <v>62</v>
      </c>
      <c r="E70" s="105" t="s">
        <v>61</v>
      </c>
      <c r="F70" s="104" t="s">
        <v>44</v>
      </c>
      <c r="G70" s="105" t="str">
        <f t="shared" si="0"/>
        <v>ModificaciónCTAPIDTOBaja</v>
      </c>
      <c r="H70" s="104">
        <f t="shared" si="6"/>
        <v>3.125E-2</v>
      </c>
      <c r="I70" s="104">
        <v>0.25</v>
      </c>
      <c r="J70" s="104"/>
      <c r="K70" s="104"/>
      <c r="L70" s="48"/>
    </row>
    <row r="71" spans="1:14" x14ac:dyDescent="0.35">
      <c r="A71" s="2">
        <v>68</v>
      </c>
      <c r="B71" s="104" t="s">
        <v>41</v>
      </c>
      <c r="C71" s="104" t="s">
        <v>24</v>
      </c>
      <c r="D71" s="104" t="s">
        <v>62</v>
      </c>
      <c r="E71" s="105" t="s">
        <v>61</v>
      </c>
      <c r="F71" s="104" t="s">
        <v>43</v>
      </c>
      <c r="G71" s="105" t="str">
        <f t="shared" si="0"/>
        <v>ModificaciónCTAPIDTOMedia</v>
      </c>
      <c r="H71" s="104">
        <f t="shared" si="6"/>
        <v>6.25E-2</v>
      </c>
      <c r="I71" s="104">
        <v>0.5</v>
      </c>
      <c r="J71" s="104"/>
      <c r="K71" s="104"/>
      <c r="L71" s="48"/>
    </row>
    <row r="72" spans="1:14" x14ac:dyDescent="0.35">
      <c r="A72" s="2">
        <v>69</v>
      </c>
      <c r="B72" s="104" t="s">
        <v>41</v>
      </c>
      <c r="C72" s="104" t="s">
        <v>24</v>
      </c>
      <c r="D72" s="104" t="s">
        <v>62</v>
      </c>
      <c r="E72" s="105" t="s">
        <v>61</v>
      </c>
      <c r="F72" s="104" t="s">
        <v>42</v>
      </c>
      <c r="G72" s="105" t="str">
        <f t="shared" si="0"/>
        <v>ModificaciónCTAPIDTOAlta</v>
      </c>
      <c r="H72" s="104">
        <f t="shared" si="6"/>
        <v>0.125</v>
      </c>
      <c r="I72" s="104">
        <v>1</v>
      </c>
      <c r="J72" s="104"/>
      <c r="K72" s="104"/>
      <c r="L72" s="48"/>
    </row>
    <row r="73" spans="1:14" x14ac:dyDescent="0.35">
      <c r="A73" s="2">
        <v>70</v>
      </c>
      <c r="B73" s="106" t="s">
        <v>41</v>
      </c>
      <c r="C73" s="106" t="s">
        <v>24</v>
      </c>
      <c r="D73" s="106" t="s">
        <v>62</v>
      </c>
      <c r="E73" s="107" t="s">
        <v>88</v>
      </c>
      <c r="F73" s="106" t="s">
        <v>44</v>
      </c>
      <c r="G73" s="107" t="str">
        <f t="shared" si="0"/>
        <v>ModificaciónCTAPIJUNIT ApiBaja</v>
      </c>
      <c r="H73" s="106">
        <f t="shared" si="6"/>
        <v>0</v>
      </c>
      <c r="I73" s="106">
        <v>0</v>
      </c>
      <c r="J73" s="106"/>
      <c r="K73" s="106"/>
      <c r="L73" s="48"/>
      <c r="M73" s="48"/>
      <c r="N73" s="48"/>
    </row>
    <row r="74" spans="1:14" x14ac:dyDescent="0.35">
      <c r="A74" s="2">
        <v>71</v>
      </c>
      <c r="B74" s="106" t="s">
        <v>41</v>
      </c>
      <c r="C74" s="106" t="s">
        <v>24</v>
      </c>
      <c r="D74" s="106" t="s">
        <v>62</v>
      </c>
      <c r="E74" s="107" t="s">
        <v>88</v>
      </c>
      <c r="F74" s="106" t="s">
        <v>43</v>
      </c>
      <c r="G74" s="107" t="str">
        <f t="shared" si="0"/>
        <v>ModificaciónCTAPIJUNIT ApiMedia</v>
      </c>
      <c r="H74" s="106">
        <f t="shared" si="6"/>
        <v>0</v>
      </c>
      <c r="I74" s="106">
        <v>0</v>
      </c>
      <c r="J74" s="106"/>
      <c r="K74" s="106"/>
      <c r="L74" s="48"/>
      <c r="M74" s="48"/>
      <c r="N74" s="48"/>
    </row>
    <row r="75" spans="1:14" x14ac:dyDescent="0.35">
      <c r="A75" s="2">
        <v>72</v>
      </c>
      <c r="B75" s="106" t="s">
        <v>41</v>
      </c>
      <c r="C75" s="106" t="s">
        <v>24</v>
      </c>
      <c r="D75" s="106" t="s">
        <v>62</v>
      </c>
      <c r="E75" s="107" t="s">
        <v>88</v>
      </c>
      <c r="F75" s="106" t="s">
        <v>42</v>
      </c>
      <c r="G75" s="107" t="str">
        <f t="shared" si="0"/>
        <v>ModificaciónCTAPIJUNIT ApiAlta</v>
      </c>
      <c r="H75" s="106">
        <f t="shared" si="6"/>
        <v>0</v>
      </c>
      <c r="I75" s="106">
        <v>0</v>
      </c>
      <c r="J75" s="106"/>
      <c r="K75" s="106"/>
      <c r="L75" s="48"/>
      <c r="M75" s="48"/>
      <c r="N75" s="48"/>
    </row>
    <row r="76" spans="1:14" x14ac:dyDescent="0.35">
      <c r="A76" s="2">
        <v>73</v>
      </c>
      <c r="B76" s="104" t="s">
        <v>41</v>
      </c>
      <c r="C76" s="104" t="s">
        <v>24</v>
      </c>
      <c r="D76" s="104" t="s">
        <v>62</v>
      </c>
      <c r="E76" s="105" t="s">
        <v>97</v>
      </c>
      <c r="F76" s="104" t="s">
        <v>44</v>
      </c>
      <c r="G76" s="105" t="str">
        <f t="shared" si="0"/>
        <v>ModificaciónCTAPIRefactor codigoBaja</v>
      </c>
      <c r="H76" s="104">
        <f t="shared" ref="H76:H136" si="7">I76/8</f>
        <v>0.25</v>
      </c>
      <c r="I76" s="104">
        <v>2</v>
      </c>
      <c r="J76" s="104"/>
      <c r="K76" s="104"/>
      <c r="L76" s="48"/>
      <c r="M76" s="48"/>
      <c r="N76" s="48"/>
    </row>
    <row r="77" spans="1:14" x14ac:dyDescent="0.35">
      <c r="A77" s="2">
        <v>74</v>
      </c>
      <c r="B77" s="104" t="s">
        <v>41</v>
      </c>
      <c r="C77" s="104" t="s">
        <v>24</v>
      </c>
      <c r="D77" s="104" t="s">
        <v>62</v>
      </c>
      <c r="E77" s="105" t="s">
        <v>97</v>
      </c>
      <c r="F77" s="104" t="s">
        <v>43</v>
      </c>
      <c r="G77" s="105" t="str">
        <f t="shared" si="0"/>
        <v>ModificaciónCTAPIRefactor codigoMedia</v>
      </c>
      <c r="H77" s="104">
        <f t="shared" si="7"/>
        <v>1</v>
      </c>
      <c r="I77" s="104">
        <v>8</v>
      </c>
      <c r="J77" s="104"/>
      <c r="K77" s="104"/>
      <c r="L77" s="48"/>
      <c r="M77" s="48"/>
      <c r="N77" s="48"/>
    </row>
    <row r="78" spans="1:14" x14ac:dyDescent="0.35">
      <c r="A78" s="2">
        <v>75</v>
      </c>
      <c r="B78" s="104" t="s">
        <v>41</v>
      </c>
      <c r="C78" s="104" t="s">
        <v>24</v>
      </c>
      <c r="D78" s="104" t="s">
        <v>62</v>
      </c>
      <c r="E78" s="105" t="s">
        <v>97</v>
      </c>
      <c r="F78" s="104" t="s">
        <v>42</v>
      </c>
      <c r="G78" s="105" t="str">
        <f t="shared" si="0"/>
        <v>ModificaciónCTAPIRefactor codigoAlta</v>
      </c>
      <c r="H78" s="104">
        <f t="shared" si="7"/>
        <v>2</v>
      </c>
      <c r="I78" s="104">
        <v>16</v>
      </c>
      <c r="J78" s="104"/>
      <c r="K78" s="104"/>
      <c r="L78" s="48"/>
      <c r="M78" s="48"/>
      <c r="N78" s="48"/>
    </row>
    <row r="79" spans="1:14" x14ac:dyDescent="0.35">
      <c r="A79" s="2">
        <v>76</v>
      </c>
      <c r="B79" s="106" t="s">
        <v>41</v>
      </c>
      <c r="C79" s="106" t="s">
        <v>24</v>
      </c>
      <c r="D79" s="106" t="s">
        <v>38</v>
      </c>
      <c r="E79" s="107" t="s">
        <v>59</v>
      </c>
      <c r="F79" s="106" t="s">
        <v>44</v>
      </c>
      <c r="G79" s="107" t="str">
        <f t="shared" si="0"/>
        <v>ModificaciónCTFrontalControladorBaja</v>
      </c>
      <c r="H79" s="106">
        <f t="shared" si="7"/>
        <v>0.125</v>
      </c>
      <c r="I79" s="106">
        <v>1</v>
      </c>
      <c r="J79" s="106"/>
      <c r="K79" s="106"/>
      <c r="L79" s="48"/>
      <c r="M79" s="48"/>
      <c r="N79" s="48"/>
    </row>
    <row r="80" spans="1:14" x14ac:dyDescent="0.35">
      <c r="A80" s="2">
        <v>77</v>
      </c>
      <c r="B80" s="106" t="s">
        <v>41</v>
      </c>
      <c r="C80" s="106" t="s">
        <v>24</v>
      </c>
      <c r="D80" s="106" t="s">
        <v>38</v>
      </c>
      <c r="E80" s="107" t="s">
        <v>59</v>
      </c>
      <c r="F80" s="106" t="s">
        <v>43</v>
      </c>
      <c r="G80" s="107" t="str">
        <f t="shared" si="0"/>
        <v>ModificaciónCTFrontalControladorMedia</v>
      </c>
      <c r="H80" s="106">
        <f t="shared" si="7"/>
        <v>0.625</v>
      </c>
      <c r="I80" s="106">
        <v>5</v>
      </c>
      <c r="J80" s="106"/>
      <c r="K80" s="106"/>
      <c r="L80" s="48"/>
      <c r="M80" s="48"/>
      <c r="N80" s="48"/>
    </row>
    <row r="81" spans="1:14" x14ac:dyDescent="0.35">
      <c r="A81" s="2">
        <v>78</v>
      </c>
      <c r="B81" s="106" t="s">
        <v>41</v>
      </c>
      <c r="C81" s="106" t="s">
        <v>24</v>
      </c>
      <c r="D81" s="106" t="s">
        <v>38</v>
      </c>
      <c r="E81" s="107" t="s">
        <v>59</v>
      </c>
      <c r="F81" s="106" t="s">
        <v>42</v>
      </c>
      <c r="G81" s="107" t="str">
        <f t="shared" si="0"/>
        <v>ModificaciónCTFrontalControladorAlta</v>
      </c>
      <c r="H81" s="106">
        <f t="shared" si="7"/>
        <v>1.125</v>
      </c>
      <c r="I81" s="106">
        <v>9</v>
      </c>
      <c r="J81" s="106"/>
      <c r="K81" s="106"/>
      <c r="L81" s="48"/>
      <c r="M81" s="48"/>
      <c r="N81" s="48"/>
    </row>
    <row r="82" spans="1:14" x14ac:dyDescent="0.35">
      <c r="A82" s="2">
        <v>79</v>
      </c>
      <c r="B82" s="104" t="s">
        <v>41</v>
      </c>
      <c r="C82" s="104" t="s">
        <v>24</v>
      </c>
      <c r="D82" s="104" t="s">
        <v>38</v>
      </c>
      <c r="E82" s="105" t="s">
        <v>58</v>
      </c>
      <c r="F82" s="104" t="s">
        <v>44</v>
      </c>
      <c r="G82" s="105" t="str">
        <f t="shared" si="0"/>
        <v>ModificaciónCTFrontalJSBaja</v>
      </c>
      <c r="H82" s="104">
        <f t="shared" si="7"/>
        <v>0.125</v>
      </c>
      <c r="I82" s="104">
        <v>1</v>
      </c>
      <c r="J82" s="104"/>
      <c r="K82" s="104"/>
      <c r="L82" s="48"/>
      <c r="M82" s="48"/>
    </row>
    <row r="83" spans="1:14" x14ac:dyDescent="0.35">
      <c r="A83" s="2">
        <v>80</v>
      </c>
      <c r="B83" s="104" t="s">
        <v>41</v>
      </c>
      <c r="C83" s="104" t="s">
        <v>24</v>
      </c>
      <c r="D83" s="104" t="s">
        <v>38</v>
      </c>
      <c r="E83" s="105" t="s">
        <v>58</v>
      </c>
      <c r="F83" s="104" t="s">
        <v>43</v>
      </c>
      <c r="G83" s="105" t="str">
        <f t="shared" si="0"/>
        <v>ModificaciónCTFrontalJSMedia</v>
      </c>
      <c r="H83" s="104">
        <f t="shared" si="7"/>
        <v>0.5</v>
      </c>
      <c r="I83" s="104">
        <v>4</v>
      </c>
      <c r="J83" s="104"/>
      <c r="K83" s="104"/>
      <c r="L83" s="48"/>
      <c r="M83" s="48"/>
    </row>
    <row r="84" spans="1:14" x14ac:dyDescent="0.35">
      <c r="A84" s="2">
        <v>81</v>
      </c>
      <c r="B84" s="104" t="s">
        <v>41</v>
      </c>
      <c r="C84" s="104" t="s">
        <v>24</v>
      </c>
      <c r="D84" s="104" t="s">
        <v>38</v>
      </c>
      <c r="E84" s="105" t="s">
        <v>58</v>
      </c>
      <c r="F84" s="104" t="s">
        <v>42</v>
      </c>
      <c r="G84" s="105" t="str">
        <f t="shared" si="0"/>
        <v>ModificaciónCTFrontalJSAlta</v>
      </c>
      <c r="H84" s="104">
        <f t="shared" si="7"/>
        <v>1</v>
      </c>
      <c r="I84" s="104">
        <v>8</v>
      </c>
      <c r="J84" s="104"/>
      <c r="K84" s="104"/>
      <c r="L84" s="48"/>
      <c r="M84" s="48"/>
    </row>
    <row r="85" spans="1:14" x14ac:dyDescent="0.35">
      <c r="A85" s="2">
        <v>82</v>
      </c>
      <c r="B85" s="106" t="s">
        <v>41</v>
      </c>
      <c r="C85" s="106" t="s">
        <v>24</v>
      </c>
      <c r="D85" s="106" t="s">
        <v>38</v>
      </c>
      <c r="E85" s="107" t="s">
        <v>60</v>
      </c>
      <c r="F85" s="106" t="s">
        <v>44</v>
      </c>
      <c r="G85" s="107" t="str">
        <f t="shared" si="0"/>
        <v>ModificaciónCTFrontalHTMLBaja</v>
      </c>
      <c r="H85" s="106">
        <f t="shared" si="7"/>
        <v>0.25</v>
      </c>
      <c r="I85" s="106">
        <v>2</v>
      </c>
      <c r="J85" s="106"/>
      <c r="K85" s="106"/>
      <c r="L85" s="48"/>
      <c r="M85" s="48"/>
      <c r="N85" s="48"/>
    </row>
    <row r="86" spans="1:14" x14ac:dyDescent="0.35">
      <c r="A86" s="2">
        <v>83</v>
      </c>
      <c r="B86" s="106" t="s">
        <v>41</v>
      </c>
      <c r="C86" s="106" t="s">
        <v>24</v>
      </c>
      <c r="D86" s="106" t="s">
        <v>38</v>
      </c>
      <c r="E86" s="107" t="s">
        <v>60</v>
      </c>
      <c r="F86" s="106" t="s">
        <v>43</v>
      </c>
      <c r="G86" s="107" t="str">
        <f t="shared" si="0"/>
        <v>ModificaciónCTFrontalHTMLMedia</v>
      </c>
      <c r="H86" s="106">
        <f t="shared" si="7"/>
        <v>0.625</v>
      </c>
      <c r="I86" s="106">
        <v>5</v>
      </c>
      <c r="J86" s="106"/>
      <c r="K86" s="106"/>
      <c r="L86" s="48"/>
      <c r="M86" s="48"/>
      <c r="N86" s="48"/>
    </row>
    <row r="87" spans="1:14" x14ac:dyDescent="0.35">
      <c r="A87" s="2">
        <v>84</v>
      </c>
      <c r="B87" s="106" t="s">
        <v>41</v>
      </c>
      <c r="C87" s="106" t="s">
        <v>24</v>
      </c>
      <c r="D87" s="106" t="s">
        <v>38</v>
      </c>
      <c r="E87" s="107" t="s">
        <v>60</v>
      </c>
      <c r="F87" s="106" t="s">
        <v>42</v>
      </c>
      <c r="G87" s="107" t="str">
        <f t="shared" si="0"/>
        <v>ModificaciónCTFrontalHTMLAlta</v>
      </c>
      <c r="H87" s="106">
        <f t="shared" si="7"/>
        <v>1.125</v>
      </c>
      <c r="I87" s="106">
        <v>9</v>
      </c>
      <c r="J87" s="106"/>
      <c r="K87" s="106"/>
      <c r="L87" s="48"/>
      <c r="M87" s="48"/>
      <c r="N87" s="48"/>
    </row>
    <row r="88" spans="1:14" x14ac:dyDescent="0.35">
      <c r="A88" s="2">
        <v>85</v>
      </c>
      <c r="B88" s="104" t="s">
        <v>41</v>
      </c>
      <c r="C88" s="104" t="s">
        <v>24</v>
      </c>
      <c r="D88" s="104" t="s">
        <v>38</v>
      </c>
      <c r="E88" s="105" t="s">
        <v>90</v>
      </c>
      <c r="F88" s="104" t="s">
        <v>44</v>
      </c>
      <c r="G88" s="105" t="str">
        <f t="shared" si="0"/>
        <v>ModificaciónCTFrontalJUNIT JSBaja</v>
      </c>
      <c r="H88" s="104">
        <f t="shared" si="7"/>
        <v>0</v>
      </c>
      <c r="I88" s="104">
        <v>0</v>
      </c>
      <c r="J88" s="104"/>
      <c r="K88" s="104"/>
      <c r="L88" s="48"/>
      <c r="M88" s="48"/>
      <c r="N88" s="48"/>
    </row>
    <row r="89" spans="1:14" x14ac:dyDescent="0.35">
      <c r="A89" s="2">
        <v>86</v>
      </c>
      <c r="B89" s="104" t="s">
        <v>41</v>
      </c>
      <c r="C89" s="104" t="s">
        <v>24</v>
      </c>
      <c r="D89" s="104" t="s">
        <v>38</v>
      </c>
      <c r="E89" s="105" t="s">
        <v>90</v>
      </c>
      <c r="F89" s="104" t="s">
        <v>43</v>
      </c>
      <c r="G89" s="105" t="str">
        <f t="shared" si="0"/>
        <v>ModificaciónCTFrontalJUNIT JSMedia</v>
      </c>
      <c r="H89" s="104">
        <f t="shared" si="7"/>
        <v>0</v>
      </c>
      <c r="I89" s="104">
        <v>0</v>
      </c>
      <c r="J89" s="104"/>
      <c r="K89" s="104"/>
      <c r="L89" s="48"/>
      <c r="M89" s="48"/>
      <c r="N89" s="48"/>
    </row>
    <row r="90" spans="1:14" x14ac:dyDescent="0.35">
      <c r="A90" s="2">
        <v>87</v>
      </c>
      <c r="B90" s="104" t="s">
        <v>41</v>
      </c>
      <c r="C90" s="104" t="s">
        <v>24</v>
      </c>
      <c r="D90" s="104" t="s">
        <v>38</v>
      </c>
      <c r="E90" s="105" t="s">
        <v>90</v>
      </c>
      <c r="F90" s="104" t="s">
        <v>42</v>
      </c>
      <c r="G90" s="105" t="str">
        <f t="shared" si="0"/>
        <v>ModificaciónCTFrontalJUNIT JSAlta</v>
      </c>
      <c r="H90" s="104">
        <f t="shared" si="7"/>
        <v>0</v>
      </c>
      <c r="I90" s="104">
        <v>0</v>
      </c>
      <c r="J90" s="104"/>
      <c r="K90" s="104"/>
      <c r="L90" s="48"/>
      <c r="M90" s="48"/>
      <c r="N90" s="48"/>
    </row>
    <row r="91" spans="1:14" x14ac:dyDescent="0.35">
      <c r="A91" s="2">
        <v>88</v>
      </c>
      <c r="B91" s="106" t="s">
        <v>41</v>
      </c>
      <c r="C91" s="106" t="s">
        <v>24</v>
      </c>
      <c r="D91" s="106" t="s">
        <v>38</v>
      </c>
      <c r="E91" s="107" t="s">
        <v>89</v>
      </c>
      <c r="F91" s="106" t="s">
        <v>44</v>
      </c>
      <c r="G91" s="107" t="str">
        <f t="shared" si="0"/>
        <v>ModificaciónCTFrontalJUNIT ControllerBaja</v>
      </c>
      <c r="H91" s="106">
        <f t="shared" si="7"/>
        <v>0</v>
      </c>
      <c r="I91" s="106">
        <v>0</v>
      </c>
      <c r="J91" s="106"/>
      <c r="K91" s="106"/>
      <c r="L91" s="48"/>
      <c r="M91" s="48"/>
      <c r="N91" s="48"/>
    </row>
    <row r="92" spans="1:14" x14ac:dyDescent="0.35">
      <c r="A92" s="2">
        <v>89</v>
      </c>
      <c r="B92" s="106" t="s">
        <v>41</v>
      </c>
      <c r="C92" s="106" t="s">
        <v>24</v>
      </c>
      <c r="D92" s="106" t="s">
        <v>38</v>
      </c>
      <c r="E92" s="107" t="s">
        <v>89</v>
      </c>
      <c r="F92" s="106" t="s">
        <v>43</v>
      </c>
      <c r="G92" s="107" t="str">
        <f t="shared" si="0"/>
        <v>ModificaciónCTFrontalJUNIT ControllerMedia</v>
      </c>
      <c r="H92" s="106">
        <f t="shared" si="7"/>
        <v>0</v>
      </c>
      <c r="I92" s="106">
        <v>0</v>
      </c>
      <c r="J92" s="106"/>
      <c r="K92" s="106"/>
      <c r="L92" s="48"/>
      <c r="N92" s="48"/>
    </row>
    <row r="93" spans="1:14" x14ac:dyDescent="0.35">
      <c r="A93" s="2">
        <v>90</v>
      </c>
      <c r="B93" s="106" t="s">
        <v>41</v>
      </c>
      <c r="C93" s="106" t="s">
        <v>24</v>
      </c>
      <c r="D93" s="106" t="s">
        <v>38</v>
      </c>
      <c r="E93" s="107" t="s">
        <v>89</v>
      </c>
      <c r="F93" s="106" t="s">
        <v>42</v>
      </c>
      <c r="G93" s="107" t="str">
        <f t="shared" si="0"/>
        <v>ModificaciónCTFrontalJUNIT ControllerAlta</v>
      </c>
      <c r="H93" s="106">
        <f t="shared" si="7"/>
        <v>0</v>
      </c>
      <c r="I93" s="106">
        <v>0</v>
      </c>
      <c r="J93" s="106"/>
      <c r="K93" s="106"/>
      <c r="L93" s="48"/>
      <c r="N93" s="45"/>
    </row>
    <row r="94" spans="1:14" x14ac:dyDescent="0.35">
      <c r="A94" s="2">
        <v>91</v>
      </c>
      <c r="B94" s="104" t="s">
        <v>41</v>
      </c>
      <c r="C94" s="104" t="s">
        <v>24</v>
      </c>
      <c r="D94" s="104" t="s">
        <v>38</v>
      </c>
      <c r="E94" s="105" t="s">
        <v>97</v>
      </c>
      <c r="F94" s="104" t="s">
        <v>44</v>
      </c>
      <c r="G94" s="105" t="str">
        <f t="shared" si="0"/>
        <v>ModificaciónCTFrontalRefactor codigoBaja</v>
      </c>
      <c r="H94" s="104">
        <f t="shared" si="7"/>
        <v>0.5</v>
      </c>
      <c r="I94" s="104">
        <v>4</v>
      </c>
      <c r="J94" s="104"/>
      <c r="K94" s="104"/>
      <c r="L94" s="48"/>
    </row>
    <row r="95" spans="1:14" x14ac:dyDescent="0.35">
      <c r="A95" s="2">
        <v>92</v>
      </c>
      <c r="B95" s="104" t="s">
        <v>41</v>
      </c>
      <c r="C95" s="104" t="s">
        <v>24</v>
      </c>
      <c r="D95" s="104" t="s">
        <v>38</v>
      </c>
      <c r="E95" s="105" t="s">
        <v>97</v>
      </c>
      <c r="F95" s="104" t="s">
        <v>43</v>
      </c>
      <c r="G95" s="105" t="str">
        <f t="shared" si="0"/>
        <v>ModificaciónCTFrontalRefactor codigoMedia</v>
      </c>
      <c r="H95" s="104">
        <f t="shared" si="7"/>
        <v>1</v>
      </c>
      <c r="I95" s="104">
        <v>8</v>
      </c>
      <c r="J95" s="104"/>
      <c r="K95" s="104"/>
      <c r="L95" s="48"/>
    </row>
    <row r="96" spans="1:14" x14ac:dyDescent="0.35">
      <c r="A96" s="2">
        <v>93</v>
      </c>
      <c r="B96" s="104" t="s">
        <v>41</v>
      </c>
      <c r="C96" s="104" t="s">
        <v>24</v>
      </c>
      <c r="D96" s="104" t="s">
        <v>38</v>
      </c>
      <c r="E96" s="105" t="s">
        <v>97</v>
      </c>
      <c r="F96" s="104" t="s">
        <v>42</v>
      </c>
      <c r="G96" s="105" t="str">
        <f t="shared" si="0"/>
        <v>ModificaciónCTFrontalRefactor codigoAlta</v>
      </c>
      <c r="H96" s="104">
        <f t="shared" si="7"/>
        <v>1.25</v>
      </c>
      <c r="I96" s="104">
        <v>10</v>
      </c>
      <c r="J96" s="104"/>
      <c r="K96" s="104"/>
      <c r="L96" s="48"/>
    </row>
    <row r="97" spans="1:12" x14ac:dyDescent="0.35">
      <c r="A97" s="2">
        <v>94</v>
      </c>
      <c r="B97" s="106" t="s">
        <v>41</v>
      </c>
      <c r="C97" s="106" t="s">
        <v>24</v>
      </c>
      <c r="D97" s="106" t="s">
        <v>39</v>
      </c>
      <c r="E97" s="107" t="s">
        <v>75</v>
      </c>
      <c r="F97" s="106" t="s">
        <v>44</v>
      </c>
      <c r="G97" s="107" t="str">
        <f t="shared" si="0"/>
        <v>ModificaciónCTGeneralConstrucionBaja</v>
      </c>
      <c r="H97" s="106">
        <f t="shared" si="7"/>
        <v>0.25</v>
      </c>
      <c r="I97" s="106">
        <v>2</v>
      </c>
      <c r="J97" s="106"/>
      <c r="K97" s="106"/>
      <c r="L97" s="48"/>
    </row>
    <row r="98" spans="1:12" x14ac:dyDescent="0.35">
      <c r="A98" s="2">
        <v>95</v>
      </c>
      <c r="B98" s="106" t="s">
        <v>41</v>
      </c>
      <c r="C98" s="106" t="s">
        <v>24</v>
      </c>
      <c r="D98" s="106" t="s">
        <v>39</v>
      </c>
      <c r="E98" s="107" t="s">
        <v>75</v>
      </c>
      <c r="F98" s="106" t="s">
        <v>43</v>
      </c>
      <c r="G98" s="107" t="str">
        <f t="shared" si="0"/>
        <v>ModificaciónCTGeneralConstrucionMedia</v>
      </c>
      <c r="H98" s="106">
        <f t="shared" si="7"/>
        <v>0.5</v>
      </c>
      <c r="I98" s="106">
        <v>4</v>
      </c>
      <c r="J98" s="106"/>
      <c r="K98" s="106"/>
      <c r="L98" s="48"/>
    </row>
    <row r="99" spans="1:12" x14ac:dyDescent="0.35">
      <c r="A99" s="2">
        <v>96</v>
      </c>
      <c r="B99" s="106" t="s">
        <v>41</v>
      </c>
      <c r="C99" s="106" t="s">
        <v>24</v>
      </c>
      <c r="D99" s="106" t="s">
        <v>39</v>
      </c>
      <c r="E99" s="107" t="s">
        <v>75</v>
      </c>
      <c r="F99" s="106" t="s">
        <v>42</v>
      </c>
      <c r="G99" s="107" t="str">
        <f t="shared" si="0"/>
        <v>ModificaciónCTGeneralConstrucionAlta</v>
      </c>
      <c r="H99" s="106">
        <f t="shared" si="7"/>
        <v>0.75</v>
      </c>
      <c r="I99" s="106">
        <v>6</v>
      </c>
      <c r="J99" s="106"/>
      <c r="K99" s="106"/>
      <c r="L99" s="48"/>
    </row>
    <row r="100" spans="1:12" x14ac:dyDescent="0.35">
      <c r="A100" s="2">
        <v>97</v>
      </c>
      <c r="B100" s="104" t="s">
        <v>41</v>
      </c>
      <c r="C100" s="104" t="s">
        <v>33</v>
      </c>
      <c r="D100" s="104" t="s">
        <v>57</v>
      </c>
      <c r="E100" s="105" t="s">
        <v>92</v>
      </c>
      <c r="F100" s="104" t="s">
        <v>44</v>
      </c>
      <c r="G100" s="105" t="str">
        <f t="shared" si="0"/>
        <v>ModificaciónMDDAOToma RequerimientosBaja</v>
      </c>
      <c r="H100" s="104">
        <f t="shared" si="7"/>
        <v>0.125</v>
      </c>
      <c r="I100" s="104">
        <v>1</v>
      </c>
      <c r="J100" s="104"/>
      <c r="K100" s="104"/>
      <c r="L100" s="48"/>
    </row>
    <row r="101" spans="1:12" x14ac:dyDescent="0.35">
      <c r="A101" s="2">
        <v>98</v>
      </c>
      <c r="B101" s="104" t="s">
        <v>41</v>
      </c>
      <c r="C101" s="104" t="s">
        <v>33</v>
      </c>
      <c r="D101" s="104" t="s">
        <v>57</v>
      </c>
      <c r="E101" s="105" t="s">
        <v>92</v>
      </c>
      <c r="F101" s="104" t="s">
        <v>43</v>
      </c>
      <c r="G101" s="105" t="str">
        <f t="shared" si="0"/>
        <v>ModificaciónMDDAOToma RequerimientosMedia</v>
      </c>
      <c r="H101" s="104">
        <f t="shared" si="7"/>
        <v>0.375</v>
      </c>
      <c r="I101" s="104">
        <v>3</v>
      </c>
      <c r="J101" s="104"/>
      <c r="K101" s="104"/>
      <c r="L101" s="48"/>
    </row>
    <row r="102" spans="1:12" x14ac:dyDescent="0.35">
      <c r="A102" s="2">
        <v>99</v>
      </c>
      <c r="B102" s="104" t="s">
        <v>41</v>
      </c>
      <c r="C102" s="104" t="s">
        <v>33</v>
      </c>
      <c r="D102" s="104" t="s">
        <v>57</v>
      </c>
      <c r="E102" s="105" t="s">
        <v>92</v>
      </c>
      <c r="F102" s="104" t="s">
        <v>42</v>
      </c>
      <c r="G102" s="105" t="str">
        <f t="shared" si="0"/>
        <v>ModificaciónMDDAOToma RequerimientosAlta</v>
      </c>
      <c r="H102" s="104">
        <f t="shared" si="7"/>
        <v>0.75</v>
      </c>
      <c r="I102" s="104">
        <v>6</v>
      </c>
      <c r="J102" s="104"/>
      <c r="K102" s="104"/>
      <c r="L102" s="48"/>
    </row>
    <row r="103" spans="1:12" x14ac:dyDescent="0.35">
      <c r="A103" s="2">
        <v>100</v>
      </c>
      <c r="B103" s="106" t="s">
        <v>41</v>
      </c>
      <c r="C103" s="106" t="s">
        <v>33</v>
      </c>
      <c r="D103" s="106" t="s">
        <v>57</v>
      </c>
      <c r="E103" s="107" t="s">
        <v>93</v>
      </c>
      <c r="F103" s="106" t="s">
        <v>44</v>
      </c>
      <c r="G103" s="107" t="str">
        <f t="shared" si="0"/>
        <v>ModificaciónMDDAOEspera ImplementacionBaja</v>
      </c>
      <c r="H103" s="106">
        <f t="shared" si="7"/>
        <v>0.25</v>
      </c>
      <c r="I103" s="106">
        <v>2</v>
      </c>
      <c r="J103" s="106"/>
      <c r="K103" s="106"/>
      <c r="L103" s="45"/>
    </row>
    <row r="104" spans="1:12" x14ac:dyDescent="0.35">
      <c r="A104" s="2">
        <v>101</v>
      </c>
      <c r="B104" s="106" t="s">
        <v>41</v>
      </c>
      <c r="C104" s="106" t="s">
        <v>33</v>
      </c>
      <c r="D104" s="106" t="s">
        <v>57</v>
      </c>
      <c r="E104" s="107" t="s">
        <v>93</v>
      </c>
      <c r="F104" s="106" t="s">
        <v>43</v>
      </c>
      <c r="G104" s="107" t="str">
        <f t="shared" si="0"/>
        <v>ModificaciónMDDAOEspera ImplementacionMedia</v>
      </c>
      <c r="H104" s="106">
        <f t="shared" si="7"/>
        <v>0.5</v>
      </c>
      <c r="I104" s="106">
        <v>4</v>
      </c>
      <c r="J104" s="106"/>
      <c r="K104" s="106"/>
      <c r="L104" s="48"/>
    </row>
    <row r="105" spans="1:12" x14ac:dyDescent="0.35">
      <c r="A105" s="2">
        <v>102</v>
      </c>
      <c r="B105" s="106" t="s">
        <v>41</v>
      </c>
      <c r="C105" s="106" t="s">
        <v>33</v>
      </c>
      <c r="D105" s="106" t="s">
        <v>57</v>
      </c>
      <c r="E105" s="107" t="s">
        <v>93</v>
      </c>
      <c r="F105" s="106" t="s">
        <v>42</v>
      </c>
      <c r="G105" s="107" t="str">
        <f t="shared" si="0"/>
        <v>ModificaciónMDDAOEspera ImplementacionAlta</v>
      </c>
      <c r="H105" s="106">
        <f t="shared" si="7"/>
        <v>0.75</v>
      </c>
      <c r="I105" s="106">
        <v>6</v>
      </c>
      <c r="J105" s="106"/>
      <c r="K105" s="106"/>
      <c r="L105" s="48"/>
    </row>
    <row r="106" spans="1:12" x14ac:dyDescent="0.35">
      <c r="A106" s="2">
        <v>103</v>
      </c>
      <c r="B106" s="104" t="s">
        <v>41</v>
      </c>
      <c r="C106" s="104" t="s">
        <v>33</v>
      </c>
      <c r="D106" s="106" t="s">
        <v>57</v>
      </c>
      <c r="E106" s="105" t="s">
        <v>100</v>
      </c>
      <c r="F106" s="104" t="s">
        <v>44</v>
      </c>
      <c r="G106" s="105" t="str">
        <f t="shared" ref="G106:G169" si="8">CONCATENATE(B106,C106,D106,E106,F106)</f>
        <v>ModificaciónMDDAOOperar Base DatosBaja</v>
      </c>
      <c r="H106" s="104">
        <f t="shared" si="7"/>
        <v>0.125</v>
      </c>
      <c r="I106" s="104">
        <v>1</v>
      </c>
      <c r="J106" s="104"/>
      <c r="K106" s="104"/>
      <c r="L106" s="48"/>
    </row>
    <row r="107" spans="1:12" x14ac:dyDescent="0.35">
      <c r="A107" s="2">
        <v>104</v>
      </c>
      <c r="B107" s="104" t="s">
        <v>41</v>
      </c>
      <c r="C107" s="104" t="s">
        <v>33</v>
      </c>
      <c r="D107" s="106" t="s">
        <v>57</v>
      </c>
      <c r="E107" s="105" t="s">
        <v>100</v>
      </c>
      <c r="F107" s="104" t="s">
        <v>43</v>
      </c>
      <c r="G107" s="105" t="str">
        <f t="shared" si="8"/>
        <v>ModificaciónMDDAOOperar Base DatosMedia</v>
      </c>
      <c r="H107" s="104">
        <f t="shared" si="7"/>
        <v>0.25</v>
      </c>
      <c r="I107" s="104">
        <v>2</v>
      </c>
      <c r="J107" s="104"/>
      <c r="K107" s="104"/>
      <c r="L107" s="45"/>
    </row>
    <row r="108" spans="1:12" x14ac:dyDescent="0.35">
      <c r="A108" s="2">
        <v>105</v>
      </c>
      <c r="B108" s="104" t="s">
        <v>41</v>
      </c>
      <c r="C108" s="104" t="s">
        <v>33</v>
      </c>
      <c r="D108" s="106" t="s">
        <v>57</v>
      </c>
      <c r="E108" s="105" t="s">
        <v>100</v>
      </c>
      <c r="F108" s="104" t="s">
        <v>42</v>
      </c>
      <c r="G108" s="105" t="str">
        <f t="shared" si="8"/>
        <v>ModificaciónMDDAOOperar Base DatosAlta</v>
      </c>
      <c r="H108" s="104">
        <f t="shared" si="7"/>
        <v>0.375</v>
      </c>
      <c r="I108" s="104">
        <v>3</v>
      </c>
      <c r="J108" s="104"/>
      <c r="K108" s="104"/>
      <c r="L108" s="48"/>
    </row>
    <row r="109" spans="1:12" x14ac:dyDescent="0.35">
      <c r="A109" s="2">
        <v>106</v>
      </c>
      <c r="B109" s="106" t="s">
        <v>41</v>
      </c>
      <c r="C109" s="106" t="s">
        <v>70</v>
      </c>
      <c r="D109" s="106" t="s">
        <v>39</v>
      </c>
      <c r="E109" s="107" t="s">
        <v>78</v>
      </c>
      <c r="F109" s="106" t="s">
        <v>44</v>
      </c>
      <c r="G109" s="107" t="str">
        <f t="shared" si="8"/>
        <v>ModificaciónCEGeneralConfiguracion EntornoBaja</v>
      </c>
      <c r="H109" s="106">
        <f t="shared" si="7"/>
        <v>0.25</v>
      </c>
      <c r="I109" s="106">
        <v>2</v>
      </c>
      <c r="J109" s="106"/>
      <c r="K109" s="106"/>
      <c r="L109" s="48"/>
    </row>
    <row r="110" spans="1:12" x14ac:dyDescent="0.35">
      <c r="A110" s="2">
        <v>107</v>
      </c>
      <c r="B110" s="106" t="s">
        <v>41</v>
      </c>
      <c r="C110" s="106" t="s">
        <v>70</v>
      </c>
      <c r="D110" s="106" t="s">
        <v>39</v>
      </c>
      <c r="E110" s="107" t="s">
        <v>78</v>
      </c>
      <c r="F110" s="106" t="s">
        <v>43</v>
      </c>
      <c r="G110" s="107" t="str">
        <f t="shared" si="8"/>
        <v>ModificaciónCEGeneralConfiguracion EntornoMedia</v>
      </c>
      <c r="H110" s="106">
        <f t="shared" si="7"/>
        <v>0.375</v>
      </c>
      <c r="I110" s="106">
        <v>3</v>
      </c>
      <c r="J110" s="106"/>
      <c r="K110" s="106"/>
      <c r="L110" s="48"/>
    </row>
    <row r="111" spans="1:12" x14ac:dyDescent="0.35">
      <c r="A111" s="2">
        <v>108</v>
      </c>
      <c r="B111" s="106" t="s">
        <v>41</v>
      </c>
      <c r="C111" s="106" t="s">
        <v>70</v>
      </c>
      <c r="D111" s="106" t="s">
        <v>39</v>
      </c>
      <c r="E111" s="107" t="s">
        <v>78</v>
      </c>
      <c r="F111" s="106" t="s">
        <v>42</v>
      </c>
      <c r="G111" s="107" t="str">
        <f t="shared" si="8"/>
        <v>ModificaciónCEGeneralConfiguracion EntornoAlta</v>
      </c>
      <c r="H111" s="106">
        <f t="shared" si="7"/>
        <v>0.5</v>
      </c>
      <c r="I111" s="106">
        <v>4</v>
      </c>
      <c r="J111" s="106"/>
      <c r="K111" s="106"/>
      <c r="L111" s="45"/>
    </row>
    <row r="112" spans="1:12" x14ac:dyDescent="0.35">
      <c r="A112" s="2">
        <v>109</v>
      </c>
      <c r="B112" s="104"/>
      <c r="C112" s="104"/>
      <c r="D112" s="104"/>
      <c r="E112" s="105"/>
      <c r="F112" s="104"/>
      <c r="G112" s="105" t="str">
        <f t="shared" si="8"/>
        <v/>
      </c>
      <c r="H112" s="104">
        <f t="shared" si="7"/>
        <v>0</v>
      </c>
      <c r="I112" s="104"/>
      <c r="J112" s="104"/>
      <c r="K112" s="104"/>
      <c r="L112" s="48"/>
    </row>
    <row r="113" spans="1:12" x14ac:dyDescent="0.35">
      <c r="A113" s="2">
        <v>110</v>
      </c>
      <c r="B113" s="104"/>
      <c r="C113" s="104"/>
      <c r="D113" s="104"/>
      <c r="E113" s="105"/>
      <c r="F113" s="104"/>
      <c r="G113" s="105" t="str">
        <f t="shared" si="8"/>
        <v/>
      </c>
      <c r="H113" s="104">
        <f t="shared" si="7"/>
        <v>0</v>
      </c>
      <c r="I113" s="104"/>
      <c r="J113" s="104"/>
      <c r="K113" s="104"/>
      <c r="L113" s="48"/>
    </row>
    <row r="114" spans="1:12" x14ac:dyDescent="0.35">
      <c r="A114" s="2">
        <v>111</v>
      </c>
      <c r="B114" s="104"/>
      <c r="C114" s="104"/>
      <c r="D114" s="104"/>
      <c r="E114" s="105"/>
      <c r="F114" s="104"/>
      <c r="G114" s="105" t="str">
        <f t="shared" si="8"/>
        <v/>
      </c>
      <c r="H114" s="104">
        <f t="shared" si="7"/>
        <v>0</v>
      </c>
      <c r="I114" s="104"/>
      <c r="J114" s="104"/>
      <c r="K114" s="104"/>
      <c r="L114" s="48"/>
    </row>
    <row r="115" spans="1:12" x14ac:dyDescent="0.35">
      <c r="A115" s="2">
        <v>112</v>
      </c>
      <c r="B115" s="106"/>
      <c r="C115" s="106"/>
      <c r="D115" s="106"/>
      <c r="E115" s="107"/>
      <c r="F115" s="106"/>
      <c r="G115" s="107" t="str">
        <f t="shared" si="8"/>
        <v/>
      </c>
      <c r="H115" s="106">
        <f t="shared" si="7"/>
        <v>0</v>
      </c>
      <c r="I115" s="106"/>
      <c r="J115" s="106"/>
      <c r="K115" s="106"/>
      <c r="L115" s="48"/>
    </row>
    <row r="116" spans="1:12" x14ac:dyDescent="0.35">
      <c r="A116" s="2">
        <v>113</v>
      </c>
      <c r="B116" s="106"/>
      <c r="C116" s="106"/>
      <c r="D116" s="106"/>
      <c r="E116" s="107"/>
      <c r="F116" s="106"/>
      <c r="G116" s="107" t="str">
        <f t="shared" si="8"/>
        <v/>
      </c>
      <c r="H116" s="106">
        <f t="shared" si="7"/>
        <v>0</v>
      </c>
      <c r="I116" s="106"/>
      <c r="J116" s="106"/>
      <c r="K116" s="106"/>
      <c r="L116" s="48"/>
    </row>
    <row r="117" spans="1:12" x14ac:dyDescent="0.35">
      <c r="A117" s="2">
        <v>114</v>
      </c>
      <c r="B117" s="106"/>
      <c r="C117" s="106"/>
      <c r="D117" s="106"/>
      <c r="E117" s="107"/>
      <c r="F117" s="106"/>
      <c r="G117" s="107" t="str">
        <f t="shared" si="8"/>
        <v/>
      </c>
      <c r="H117" s="106">
        <f t="shared" si="7"/>
        <v>0</v>
      </c>
      <c r="I117" s="106"/>
      <c r="J117" s="106"/>
      <c r="K117" s="106"/>
      <c r="L117" s="48"/>
    </row>
    <row r="118" spans="1:12" x14ac:dyDescent="0.35">
      <c r="A118" s="2">
        <v>115</v>
      </c>
      <c r="B118" s="104"/>
      <c r="C118" s="104"/>
      <c r="D118" s="104"/>
      <c r="E118" s="105"/>
      <c r="F118" s="104"/>
      <c r="G118" s="105" t="str">
        <f t="shared" si="8"/>
        <v/>
      </c>
      <c r="H118" s="104">
        <f t="shared" si="7"/>
        <v>0</v>
      </c>
      <c r="I118" s="104"/>
      <c r="J118" s="104"/>
      <c r="K118" s="104"/>
      <c r="L118" s="48"/>
    </row>
    <row r="119" spans="1:12" x14ac:dyDescent="0.35">
      <c r="A119" s="2">
        <v>116</v>
      </c>
      <c r="B119" s="104"/>
      <c r="C119" s="104"/>
      <c r="D119" s="104"/>
      <c r="E119" s="105"/>
      <c r="F119" s="104"/>
      <c r="G119" s="105" t="str">
        <f t="shared" si="8"/>
        <v/>
      </c>
      <c r="H119" s="104">
        <f t="shared" si="7"/>
        <v>0</v>
      </c>
      <c r="I119" s="104"/>
      <c r="J119" s="104"/>
      <c r="K119" s="104"/>
      <c r="L119" s="48"/>
    </row>
    <row r="120" spans="1:12" x14ac:dyDescent="0.35">
      <c r="A120" s="2">
        <v>117</v>
      </c>
      <c r="B120" s="104"/>
      <c r="C120" s="104"/>
      <c r="D120" s="104"/>
      <c r="E120" s="105"/>
      <c r="F120" s="104"/>
      <c r="G120" s="105" t="str">
        <f t="shared" si="8"/>
        <v/>
      </c>
      <c r="H120" s="104">
        <f t="shared" si="7"/>
        <v>0</v>
      </c>
      <c r="I120" s="104"/>
      <c r="J120" s="104"/>
      <c r="K120" s="104"/>
      <c r="L120" s="48"/>
    </row>
    <row r="121" spans="1:12" x14ac:dyDescent="0.35">
      <c r="A121" s="2">
        <v>118</v>
      </c>
      <c r="B121" s="106"/>
      <c r="C121" s="106"/>
      <c r="D121" s="106"/>
      <c r="E121" s="107"/>
      <c r="F121" s="106"/>
      <c r="G121" s="107" t="str">
        <f t="shared" si="8"/>
        <v/>
      </c>
      <c r="H121" s="106">
        <f t="shared" si="7"/>
        <v>0</v>
      </c>
      <c r="I121" s="106"/>
      <c r="J121" s="106"/>
      <c r="K121" s="106"/>
      <c r="L121" s="48"/>
    </row>
    <row r="122" spans="1:12" x14ac:dyDescent="0.35">
      <c r="A122" s="2">
        <v>119</v>
      </c>
      <c r="B122" s="106"/>
      <c r="C122" s="106"/>
      <c r="D122" s="106"/>
      <c r="E122" s="107"/>
      <c r="F122" s="106"/>
      <c r="G122" s="107" t="str">
        <f t="shared" si="8"/>
        <v/>
      </c>
      <c r="H122" s="106">
        <f t="shared" si="7"/>
        <v>0</v>
      </c>
      <c r="I122" s="106"/>
      <c r="J122" s="106"/>
      <c r="K122" s="106"/>
      <c r="L122" s="48"/>
    </row>
    <row r="123" spans="1:12" x14ac:dyDescent="0.35">
      <c r="A123" s="2">
        <v>120</v>
      </c>
      <c r="B123" s="106"/>
      <c r="C123" s="106"/>
      <c r="D123" s="106"/>
      <c r="E123" s="107"/>
      <c r="F123" s="106"/>
      <c r="G123" s="107" t="str">
        <f t="shared" si="8"/>
        <v/>
      </c>
      <c r="H123" s="106">
        <f t="shared" si="7"/>
        <v>0</v>
      </c>
      <c r="I123" s="106"/>
      <c r="J123" s="106"/>
      <c r="K123" s="106"/>
      <c r="L123" s="48"/>
    </row>
    <row r="124" spans="1:12" x14ac:dyDescent="0.35">
      <c r="A124" s="2">
        <v>121</v>
      </c>
      <c r="B124" s="92"/>
      <c r="C124" s="92"/>
      <c r="D124" s="92"/>
      <c r="E124" s="85"/>
      <c r="F124" s="92"/>
      <c r="G124" s="85" t="str">
        <f t="shared" si="8"/>
        <v/>
      </c>
      <c r="H124" s="92">
        <f t="shared" si="7"/>
        <v>0</v>
      </c>
      <c r="I124" s="92"/>
      <c r="J124" s="92"/>
      <c r="K124" s="92"/>
      <c r="L124" s="48"/>
    </row>
    <row r="125" spans="1:12" x14ac:dyDescent="0.35">
      <c r="A125" s="2">
        <v>122</v>
      </c>
      <c r="B125" s="92"/>
      <c r="C125" s="92"/>
      <c r="D125" s="92"/>
      <c r="E125" s="85"/>
      <c r="F125" s="92"/>
      <c r="G125" s="85" t="str">
        <f t="shared" si="8"/>
        <v/>
      </c>
      <c r="H125" s="92">
        <f t="shared" si="7"/>
        <v>0</v>
      </c>
      <c r="I125" s="92"/>
      <c r="J125" s="92"/>
      <c r="K125" s="92"/>
      <c r="L125" s="48"/>
    </row>
    <row r="126" spans="1:12" x14ac:dyDescent="0.35">
      <c r="A126" s="2">
        <v>123</v>
      </c>
      <c r="B126" s="92"/>
      <c r="C126" s="92"/>
      <c r="D126" s="92"/>
      <c r="E126" s="85"/>
      <c r="F126" s="92"/>
      <c r="G126" s="85" t="str">
        <f t="shared" si="8"/>
        <v/>
      </c>
      <c r="H126" s="92">
        <f t="shared" si="7"/>
        <v>0</v>
      </c>
      <c r="I126" s="92"/>
      <c r="J126" s="92"/>
      <c r="K126" s="92"/>
      <c r="L126" s="48"/>
    </row>
    <row r="127" spans="1:12" x14ac:dyDescent="0.35">
      <c r="A127" s="2">
        <v>124</v>
      </c>
      <c r="B127" s="92"/>
      <c r="C127" s="92"/>
      <c r="D127" s="92"/>
      <c r="E127" s="85"/>
      <c r="F127" s="92"/>
      <c r="G127" s="85" t="str">
        <f t="shared" si="8"/>
        <v/>
      </c>
      <c r="H127" s="92">
        <f t="shared" si="7"/>
        <v>0</v>
      </c>
      <c r="I127" s="92"/>
      <c r="J127" s="92"/>
      <c r="K127" s="92"/>
      <c r="L127" s="45"/>
    </row>
    <row r="128" spans="1:12" x14ac:dyDescent="0.35">
      <c r="A128" s="2">
        <v>125</v>
      </c>
      <c r="B128" s="92"/>
      <c r="C128" s="92"/>
      <c r="D128" s="92"/>
      <c r="E128" s="85"/>
      <c r="F128" s="92"/>
      <c r="G128" s="85" t="str">
        <f t="shared" si="8"/>
        <v/>
      </c>
      <c r="H128" s="92">
        <f t="shared" si="7"/>
        <v>0</v>
      </c>
      <c r="I128" s="92"/>
      <c r="J128" s="92"/>
      <c r="K128" s="92"/>
      <c r="L128" s="48"/>
    </row>
    <row r="129" spans="1:12" x14ac:dyDescent="0.35">
      <c r="A129" s="2">
        <v>126</v>
      </c>
      <c r="B129" s="92"/>
      <c r="C129" s="92"/>
      <c r="D129" s="92"/>
      <c r="E129" s="85"/>
      <c r="F129" s="92"/>
      <c r="G129" s="85" t="str">
        <f t="shared" si="8"/>
        <v/>
      </c>
      <c r="H129" s="92">
        <f t="shared" si="7"/>
        <v>0</v>
      </c>
      <c r="I129" s="92"/>
      <c r="J129" s="92"/>
      <c r="K129" s="92"/>
      <c r="L129" s="48"/>
    </row>
    <row r="130" spans="1:12" x14ac:dyDescent="0.35">
      <c r="A130" s="2">
        <v>127</v>
      </c>
      <c r="B130" s="92"/>
      <c r="C130" s="92"/>
      <c r="D130" s="92"/>
      <c r="E130" s="85"/>
      <c r="F130" s="92"/>
      <c r="G130" s="85" t="str">
        <f t="shared" si="8"/>
        <v/>
      </c>
      <c r="H130" s="92">
        <f t="shared" si="7"/>
        <v>0</v>
      </c>
      <c r="I130" s="92"/>
      <c r="J130" s="92"/>
      <c r="K130" s="92"/>
      <c r="L130" s="48"/>
    </row>
    <row r="131" spans="1:12" x14ac:dyDescent="0.35">
      <c r="A131" s="2">
        <v>128</v>
      </c>
      <c r="B131" s="92"/>
      <c r="C131" s="92"/>
      <c r="D131" s="92"/>
      <c r="E131" s="85"/>
      <c r="F131" s="92"/>
      <c r="G131" s="85" t="str">
        <f t="shared" si="8"/>
        <v/>
      </c>
      <c r="H131" s="92">
        <f t="shared" si="7"/>
        <v>0</v>
      </c>
      <c r="I131" s="92"/>
      <c r="J131" s="92"/>
      <c r="K131" s="92"/>
      <c r="L131" s="45"/>
    </row>
    <row r="132" spans="1:12" x14ac:dyDescent="0.35">
      <c r="A132" s="2">
        <v>129</v>
      </c>
      <c r="B132" s="92"/>
      <c r="C132" s="92"/>
      <c r="D132" s="92"/>
      <c r="E132" s="85"/>
      <c r="F132" s="92"/>
      <c r="G132" s="85" t="str">
        <f t="shared" si="8"/>
        <v/>
      </c>
      <c r="H132" s="92">
        <f t="shared" si="7"/>
        <v>0</v>
      </c>
      <c r="I132" s="92"/>
      <c r="J132" s="92"/>
      <c r="K132" s="92"/>
      <c r="L132" s="48"/>
    </row>
    <row r="133" spans="1:12" x14ac:dyDescent="0.35">
      <c r="A133" s="2">
        <v>130</v>
      </c>
      <c r="B133" s="92"/>
      <c r="C133" s="92"/>
      <c r="D133" s="92"/>
      <c r="E133" s="85"/>
      <c r="F133" s="92"/>
      <c r="G133" s="85" t="str">
        <f t="shared" si="8"/>
        <v/>
      </c>
      <c r="H133" s="92">
        <f t="shared" si="7"/>
        <v>0</v>
      </c>
      <c r="I133" s="92"/>
      <c r="J133" s="92"/>
      <c r="K133" s="92"/>
      <c r="L133" s="48"/>
    </row>
    <row r="134" spans="1:12" x14ac:dyDescent="0.35">
      <c r="A134" s="2">
        <v>131</v>
      </c>
      <c r="B134" s="92"/>
      <c r="C134" s="92"/>
      <c r="D134" s="92"/>
      <c r="E134" s="85"/>
      <c r="F134" s="92"/>
      <c r="G134" s="85" t="str">
        <f t="shared" si="8"/>
        <v/>
      </c>
      <c r="H134" s="92">
        <f t="shared" si="7"/>
        <v>0</v>
      </c>
      <c r="I134" s="92"/>
      <c r="J134" s="92"/>
      <c r="K134" s="92"/>
      <c r="L134" s="48"/>
    </row>
    <row r="135" spans="1:12" x14ac:dyDescent="0.35">
      <c r="A135" s="2">
        <v>132</v>
      </c>
      <c r="B135" s="92"/>
      <c r="C135" s="92"/>
      <c r="D135" s="92"/>
      <c r="E135" s="85"/>
      <c r="F135" s="92"/>
      <c r="G135" s="85" t="str">
        <f t="shared" si="8"/>
        <v/>
      </c>
      <c r="H135" s="92">
        <f t="shared" si="7"/>
        <v>0</v>
      </c>
      <c r="I135" s="92"/>
      <c r="J135" s="92"/>
      <c r="K135" s="92"/>
      <c r="L135" s="45"/>
    </row>
    <row r="136" spans="1:12" x14ac:dyDescent="0.35">
      <c r="A136" s="2">
        <v>133</v>
      </c>
      <c r="B136" s="92"/>
      <c r="C136" s="92"/>
      <c r="D136" s="92"/>
      <c r="E136" s="85"/>
      <c r="F136" s="92"/>
      <c r="G136" s="85" t="str">
        <f t="shared" si="8"/>
        <v/>
      </c>
      <c r="H136" s="92">
        <f t="shared" si="7"/>
        <v>0</v>
      </c>
      <c r="I136" s="92"/>
      <c r="J136" s="92"/>
      <c r="K136" s="92"/>
      <c r="L136" s="45"/>
    </row>
    <row r="137" spans="1:12" x14ac:dyDescent="0.35">
      <c r="A137" s="2">
        <v>134</v>
      </c>
      <c r="B137" s="92"/>
      <c r="C137" s="92"/>
      <c r="D137" s="92"/>
      <c r="E137" s="85"/>
      <c r="F137" s="92"/>
      <c r="G137" s="85" t="str">
        <f t="shared" si="8"/>
        <v/>
      </c>
      <c r="H137" s="92">
        <f t="shared" ref="H137:H200" si="9">I137/8</f>
        <v>0</v>
      </c>
      <c r="I137" s="92"/>
      <c r="J137" s="92"/>
      <c r="K137" s="92"/>
      <c r="L137" s="45"/>
    </row>
    <row r="138" spans="1:12" x14ac:dyDescent="0.35">
      <c r="A138" s="2">
        <v>135</v>
      </c>
      <c r="B138" s="92"/>
      <c r="C138" s="92"/>
      <c r="D138" s="92"/>
      <c r="E138" s="85"/>
      <c r="F138" s="92"/>
      <c r="G138" s="85" t="str">
        <f t="shared" si="8"/>
        <v/>
      </c>
      <c r="H138" s="92">
        <f t="shared" si="9"/>
        <v>0</v>
      </c>
      <c r="I138" s="92"/>
      <c r="J138" s="92"/>
      <c r="K138" s="92"/>
      <c r="L138" s="45"/>
    </row>
    <row r="139" spans="1:12" x14ac:dyDescent="0.35">
      <c r="A139" s="2">
        <v>136</v>
      </c>
      <c r="B139" s="92"/>
      <c r="C139" s="92"/>
      <c r="D139" s="92"/>
      <c r="E139" s="85"/>
      <c r="F139" s="92"/>
      <c r="G139" s="85" t="str">
        <f t="shared" si="8"/>
        <v/>
      </c>
      <c r="H139" s="92">
        <f t="shared" si="9"/>
        <v>0</v>
      </c>
      <c r="I139" s="92"/>
      <c r="J139" s="92"/>
      <c r="K139" s="92"/>
      <c r="L139" s="45"/>
    </row>
    <row r="140" spans="1:12" x14ac:dyDescent="0.35">
      <c r="A140" s="2">
        <v>137</v>
      </c>
      <c r="B140" s="92"/>
      <c r="C140" s="92"/>
      <c r="D140" s="92"/>
      <c r="E140" s="85"/>
      <c r="F140" s="92"/>
      <c r="G140" s="85" t="str">
        <f t="shared" si="8"/>
        <v/>
      </c>
      <c r="H140" s="92">
        <f t="shared" si="9"/>
        <v>0</v>
      </c>
      <c r="I140" s="92"/>
      <c r="J140" s="92"/>
      <c r="K140" s="92"/>
      <c r="L140" s="45"/>
    </row>
    <row r="141" spans="1:12" x14ac:dyDescent="0.35">
      <c r="A141" s="2">
        <v>138</v>
      </c>
      <c r="B141" s="92"/>
      <c r="C141" s="92"/>
      <c r="D141" s="92"/>
      <c r="E141" s="85"/>
      <c r="F141" s="92"/>
      <c r="G141" s="85" t="str">
        <f t="shared" si="8"/>
        <v/>
      </c>
      <c r="H141" s="92">
        <f t="shared" si="9"/>
        <v>0</v>
      </c>
      <c r="I141" s="92"/>
      <c r="J141" s="92"/>
      <c r="K141" s="92"/>
      <c r="L141" s="45"/>
    </row>
    <row r="142" spans="1:12" x14ac:dyDescent="0.35">
      <c r="A142" s="2">
        <v>139</v>
      </c>
      <c r="B142" s="92"/>
      <c r="C142" s="92"/>
      <c r="D142" s="92"/>
      <c r="E142" s="85"/>
      <c r="F142" s="92"/>
      <c r="G142" s="85" t="str">
        <f t="shared" si="8"/>
        <v/>
      </c>
      <c r="H142" s="92">
        <f t="shared" si="9"/>
        <v>0</v>
      </c>
      <c r="I142" s="92"/>
      <c r="J142" s="92"/>
      <c r="K142" s="92"/>
      <c r="L142" s="48"/>
    </row>
    <row r="143" spans="1:12" x14ac:dyDescent="0.35">
      <c r="A143" s="2">
        <v>140</v>
      </c>
      <c r="B143" s="92"/>
      <c r="C143" s="92"/>
      <c r="D143" s="92"/>
      <c r="E143" s="85"/>
      <c r="F143" s="92"/>
      <c r="G143" s="85" t="str">
        <f t="shared" si="8"/>
        <v/>
      </c>
      <c r="H143" s="92">
        <f t="shared" si="9"/>
        <v>0</v>
      </c>
      <c r="I143" s="92"/>
      <c r="J143" s="92"/>
      <c r="K143" s="92"/>
      <c r="L143" s="48"/>
    </row>
    <row r="144" spans="1:12" x14ac:dyDescent="0.35">
      <c r="A144" s="2">
        <v>141</v>
      </c>
      <c r="B144" s="92"/>
      <c r="C144" s="92"/>
      <c r="D144" s="92"/>
      <c r="E144" s="85"/>
      <c r="F144" s="92"/>
      <c r="G144" s="85" t="str">
        <f t="shared" si="8"/>
        <v/>
      </c>
      <c r="H144" s="92">
        <f t="shared" si="9"/>
        <v>0</v>
      </c>
      <c r="I144" s="92"/>
      <c r="J144" s="92"/>
      <c r="K144" s="92"/>
      <c r="L144" s="48"/>
    </row>
    <row r="145" spans="1:12" x14ac:dyDescent="0.35">
      <c r="A145" s="2">
        <v>142</v>
      </c>
      <c r="B145" s="92"/>
      <c r="C145" s="92"/>
      <c r="D145" s="92"/>
      <c r="E145" s="85"/>
      <c r="F145" s="92"/>
      <c r="G145" s="85" t="str">
        <f t="shared" si="8"/>
        <v/>
      </c>
      <c r="H145" s="92">
        <f t="shared" si="9"/>
        <v>0</v>
      </c>
      <c r="I145" s="92"/>
      <c r="J145" s="92"/>
      <c r="K145" s="92"/>
      <c r="L145" s="45"/>
    </row>
    <row r="146" spans="1:12" x14ac:dyDescent="0.35">
      <c r="A146" s="2">
        <v>143</v>
      </c>
      <c r="B146" s="92"/>
      <c r="C146" s="92"/>
      <c r="D146" s="92"/>
      <c r="E146" s="85"/>
      <c r="F146" s="92"/>
      <c r="G146" s="85" t="str">
        <f t="shared" si="8"/>
        <v/>
      </c>
      <c r="H146" s="92">
        <f t="shared" si="9"/>
        <v>0</v>
      </c>
      <c r="I146" s="92"/>
      <c r="J146" s="92"/>
      <c r="K146" s="92"/>
      <c r="L146" s="48"/>
    </row>
    <row r="147" spans="1:12" x14ac:dyDescent="0.35">
      <c r="A147" s="2">
        <v>144</v>
      </c>
      <c r="B147" s="92"/>
      <c r="C147" s="92"/>
      <c r="D147" s="92"/>
      <c r="E147" s="85"/>
      <c r="F147" s="92"/>
      <c r="G147" s="85" t="str">
        <f t="shared" si="8"/>
        <v/>
      </c>
      <c r="H147" s="92">
        <f t="shared" si="9"/>
        <v>0</v>
      </c>
      <c r="I147" s="92"/>
      <c r="J147" s="92"/>
      <c r="K147" s="92"/>
      <c r="L147" s="48"/>
    </row>
    <row r="148" spans="1:12" x14ac:dyDescent="0.35">
      <c r="A148" s="2">
        <v>145</v>
      </c>
      <c r="B148" s="92"/>
      <c r="C148" s="92"/>
      <c r="D148" s="92"/>
      <c r="E148" s="85"/>
      <c r="F148" s="92"/>
      <c r="G148" s="85" t="str">
        <f t="shared" si="8"/>
        <v/>
      </c>
      <c r="H148" s="92">
        <f t="shared" si="9"/>
        <v>0</v>
      </c>
      <c r="I148" s="92"/>
      <c r="J148" s="92"/>
      <c r="K148" s="92"/>
      <c r="L148" s="48"/>
    </row>
    <row r="149" spans="1:12" x14ac:dyDescent="0.35">
      <c r="A149" s="2">
        <v>146</v>
      </c>
      <c r="B149" s="92"/>
      <c r="C149" s="92"/>
      <c r="D149" s="92"/>
      <c r="E149" s="85"/>
      <c r="F149" s="92"/>
      <c r="G149" s="85" t="str">
        <f t="shared" si="8"/>
        <v/>
      </c>
      <c r="H149" s="92">
        <f t="shared" si="9"/>
        <v>0</v>
      </c>
      <c r="I149" s="92"/>
      <c r="J149" s="92"/>
      <c r="K149" s="92"/>
      <c r="L149" s="45"/>
    </row>
    <row r="150" spans="1:12" x14ac:dyDescent="0.35">
      <c r="A150" s="2">
        <v>147</v>
      </c>
      <c r="B150" s="92"/>
      <c r="C150" s="92"/>
      <c r="D150" s="92"/>
      <c r="E150" s="85"/>
      <c r="F150" s="92"/>
      <c r="G150" s="85" t="str">
        <f t="shared" si="8"/>
        <v/>
      </c>
      <c r="H150" s="92">
        <f t="shared" si="9"/>
        <v>0</v>
      </c>
      <c r="I150" s="92"/>
      <c r="J150" s="92"/>
      <c r="K150" s="92"/>
      <c r="L150" s="48"/>
    </row>
    <row r="151" spans="1:12" x14ac:dyDescent="0.35">
      <c r="A151" s="2">
        <v>148</v>
      </c>
      <c r="B151" s="92"/>
      <c r="C151" s="92"/>
      <c r="D151" s="92"/>
      <c r="E151" s="85"/>
      <c r="F151" s="92"/>
      <c r="G151" s="85" t="str">
        <f t="shared" si="8"/>
        <v/>
      </c>
      <c r="H151" s="92">
        <f t="shared" si="9"/>
        <v>0</v>
      </c>
      <c r="I151" s="92"/>
      <c r="J151" s="92"/>
      <c r="K151" s="92"/>
      <c r="L151" s="48"/>
    </row>
    <row r="152" spans="1:12" x14ac:dyDescent="0.35">
      <c r="A152" s="2">
        <v>149</v>
      </c>
      <c r="B152" s="92"/>
      <c r="C152" s="92"/>
      <c r="D152" s="92"/>
      <c r="E152" s="85"/>
      <c r="F152" s="92"/>
      <c r="G152" s="85" t="str">
        <f t="shared" si="8"/>
        <v/>
      </c>
      <c r="H152" s="92">
        <f t="shared" si="9"/>
        <v>0</v>
      </c>
      <c r="I152" s="92"/>
      <c r="J152" s="92"/>
      <c r="K152" s="92"/>
      <c r="L152" s="48"/>
    </row>
    <row r="153" spans="1:12" x14ac:dyDescent="0.35">
      <c r="A153" s="2">
        <v>150</v>
      </c>
      <c r="B153" s="92"/>
      <c r="C153" s="92"/>
      <c r="D153" s="92"/>
      <c r="E153" s="85"/>
      <c r="F153" s="92"/>
      <c r="G153" s="85" t="str">
        <f t="shared" si="8"/>
        <v/>
      </c>
      <c r="H153" s="92">
        <f t="shared" si="9"/>
        <v>0</v>
      </c>
      <c r="I153" s="92"/>
      <c r="J153" s="92"/>
      <c r="K153" s="92"/>
      <c r="L153" s="48"/>
    </row>
    <row r="154" spans="1:12" x14ac:dyDescent="0.35">
      <c r="A154" s="2">
        <v>151</v>
      </c>
      <c r="B154" s="92"/>
      <c r="C154" s="92"/>
      <c r="D154" s="92"/>
      <c r="E154" s="85"/>
      <c r="F154" s="92"/>
      <c r="G154" s="85" t="str">
        <f t="shared" si="8"/>
        <v/>
      </c>
      <c r="H154" s="92">
        <f t="shared" si="9"/>
        <v>0</v>
      </c>
      <c r="I154" s="92"/>
      <c r="J154" s="92"/>
      <c r="K154" s="92"/>
      <c r="L154" s="48"/>
    </row>
    <row r="155" spans="1:12" x14ac:dyDescent="0.35">
      <c r="A155" s="2">
        <v>152</v>
      </c>
      <c r="B155" s="92"/>
      <c r="C155" s="92"/>
      <c r="D155" s="92"/>
      <c r="E155" s="85"/>
      <c r="F155" s="92"/>
      <c r="G155" s="85" t="str">
        <f t="shared" si="8"/>
        <v/>
      </c>
      <c r="H155" s="92">
        <f t="shared" si="9"/>
        <v>0</v>
      </c>
      <c r="I155" s="92"/>
      <c r="J155" s="92"/>
      <c r="K155" s="92"/>
      <c r="L155" s="48"/>
    </row>
    <row r="156" spans="1:12" x14ac:dyDescent="0.35">
      <c r="A156" s="2">
        <v>153</v>
      </c>
      <c r="B156" s="92"/>
      <c r="C156" s="92"/>
      <c r="D156" s="92"/>
      <c r="E156" s="85"/>
      <c r="F156" s="92"/>
      <c r="G156" s="85" t="str">
        <f t="shared" si="8"/>
        <v/>
      </c>
      <c r="H156" s="92">
        <f t="shared" si="9"/>
        <v>0</v>
      </c>
      <c r="I156" s="92"/>
      <c r="J156" s="92"/>
      <c r="K156" s="92"/>
      <c r="L156" s="48"/>
    </row>
    <row r="157" spans="1:12" x14ac:dyDescent="0.35">
      <c r="A157" s="2">
        <v>154</v>
      </c>
      <c r="B157" s="92"/>
      <c r="C157" s="92"/>
      <c r="D157" s="92"/>
      <c r="E157" s="85"/>
      <c r="F157" s="92"/>
      <c r="G157" s="85" t="str">
        <f t="shared" si="8"/>
        <v/>
      </c>
      <c r="H157" s="92">
        <f t="shared" si="9"/>
        <v>0</v>
      </c>
      <c r="I157" s="92"/>
      <c r="J157" s="92"/>
      <c r="K157" s="92"/>
      <c r="L157" s="48"/>
    </row>
    <row r="158" spans="1:12" x14ac:dyDescent="0.35">
      <c r="A158" s="2">
        <v>155</v>
      </c>
      <c r="B158" s="92"/>
      <c r="C158" s="92"/>
      <c r="D158" s="92"/>
      <c r="E158" s="85"/>
      <c r="F158" s="92"/>
      <c r="G158" s="85" t="str">
        <f t="shared" si="8"/>
        <v/>
      </c>
      <c r="H158" s="92">
        <f t="shared" si="9"/>
        <v>0</v>
      </c>
      <c r="I158" s="92"/>
      <c r="J158" s="92"/>
      <c r="K158" s="92"/>
      <c r="L158" s="48"/>
    </row>
    <row r="159" spans="1:12" x14ac:dyDescent="0.35">
      <c r="A159" s="2">
        <v>156</v>
      </c>
      <c r="B159" s="92"/>
      <c r="C159" s="92"/>
      <c r="D159" s="92"/>
      <c r="E159" s="85"/>
      <c r="F159" s="92"/>
      <c r="G159" s="85" t="str">
        <f t="shared" si="8"/>
        <v/>
      </c>
      <c r="H159" s="92">
        <f t="shared" si="9"/>
        <v>0</v>
      </c>
      <c r="I159" s="92"/>
      <c r="J159" s="92"/>
      <c r="K159" s="92"/>
      <c r="L159" s="48"/>
    </row>
    <row r="160" spans="1:12" x14ac:dyDescent="0.35">
      <c r="A160" s="2">
        <v>157</v>
      </c>
      <c r="B160" s="92"/>
      <c r="C160" s="92"/>
      <c r="D160" s="92"/>
      <c r="E160" s="85"/>
      <c r="F160" s="92"/>
      <c r="G160" s="85" t="str">
        <f t="shared" si="8"/>
        <v/>
      </c>
      <c r="H160" s="92">
        <f t="shared" si="9"/>
        <v>0</v>
      </c>
      <c r="I160" s="92"/>
      <c r="J160" s="92"/>
      <c r="K160" s="92"/>
      <c r="L160" s="48"/>
    </row>
    <row r="161" spans="1:12" x14ac:dyDescent="0.35">
      <c r="A161" s="2">
        <v>158</v>
      </c>
      <c r="B161" s="92"/>
      <c r="C161" s="92"/>
      <c r="D161" s="92"/>
      <c r="E161" s="85"/>
      <c r="F161" s="92"/>
      <c r="G161" s="85" t="str">
        <f t="shared" si="8"/>
        <v/>
      </c>
      <c r="H161" s="92">
        <f t="shared" si="9"/>
        <v>0</v>
      </c>
      <c r="I161" s="92"/>
      <c r="J161" s="92"/>
      <c r="K161" s="92"/>
      <c r="L161" s="48"/>
    </row>
    <row r="162" spans="1:12" x14ac:dyDescent="0.35">
      <c r="A162" s="2">
        <v>159</v>
      </c>
      <c r="B162" s="92"/>
      <c r="C162" s="92"/>
      <c r="D162" s="92"/>
      <c r="E162" s="85"/>
      <c r="F162" s="92"/>
      <c r="G162" s="85" t="str">
        <f t="shared" si="8"/>
        <v/>
      </c>
      <c r="H162" s="92">
        <f t="shared" si="9"/>
        <v>0</v>
      </c>
      <c r="I162" s="92"/>
      <c r="J162" s="92"/>
      <c r="K162" s="92"/>
      <c r="L162" s="48"/>
    </row>
    <row r="163" spans="1:12" x14ac:dyDescent="0.35">
      <c r="A163" s="2">
        <v>160</v>
      </c>
      <c r="B163" s="92"/>
      <c r="C163" s="92"/>
      <c r="D163" s="92"/>
      <c r="E163" s="85"/>
      <c r="F163" s="92"/>
      <c r="G163" s="85" t="str">
        <f t="shared" si="8"/>
        <v/>
      </c>
      <c r="H163" s="92">
        <f t="shared" si="9"/>
        <v>0</v>
      </c>
      <c r="I163" s="92"/>
      <c r="J163" s="92"/>
      <c r="K163" s="92"/>
      <c r="L163" s="48"/>
    </row>
    <row r="164" spans="1:12" x14ac:dyDescent="0.35">
      <c r="A164" s="2">
        <v>161</v>
      </c>
      <c r="B164" s="92"/>
      <c r="C164" s="92"/>
      <c r="D164" s="92"/>
      <c r="E164" s="85"/>
      <c r="F164" s="92"/>
      <c r="G164" s="85" t="str">
        <f t="shared" si="8"/>
        <v/>
      </c>
      <c r="H164" s="92">
        <f t="shared" si="9"/>
        <v>0</v>
      </c>
      <c r="I164" s="92"/>
      <c r="J164" s="92"/>
      <c r="K164" s="92"/>
      <c r="L164" s="48"/>
    </row>
    <row r="165" spans="1:12" x14ac:dyDescent="0.35">
      <c r="A165" s="2">
        <v>162</v>
      </c>
      <c r="B165" s="92"/>
      <c r="C165" s="92"/>
      <c r="D165" s="92"/>
      <c r="E165" s="85"/>
      <c r="F165" s="92"/>
      <c r="G165" s="85" t="str">
        <f t="shared" si="8"/>
        <v/>
      </c>
      <c r="H165" s="92">
        <f t="shared" si="9"/>
        <v>0</v>
      </c>
      <c r="I165" s="92"/>
      <c r="J165" s="92"/>
      <c r="K165" s="92"/>
      <c r="L165" s="48"/>
    </row>
    <row r="166" spans="1:12" x14ac:dyDescent="0.35">
      <c r="A166" s="2">
        <v>163</v>
      </c>
      <c r="B166" s="92"/>
      <c r="C166" s="92"/>
      <c r="D166" s="92"/>
      <c r="E166" s="85"/>
      <c r="F166" s="92"/>
      <c r="G166" s="85" t="str">
        <f t="shared" si="8"/>
        <v/>
      </c>
      <c r="H166" s="92">
        <f t="shared" si="9"/>
        <v>0</v>
      </c>
      <c r="I166" s="92"/>
      <c r="J166" s="92"/>
      <c r="K166" s="92"/>
      <c r="L166" s="48"/>
    </row>
    <row r="167" spans="1:12" x14ac:dyDescent="0.35">
      <c r="A167" s="2">
        <v>164</v>
      </c>
      <c r="B167" s="92"/>
      <c r="C167" s="92"/>
      <c r="D167" s="92"/>
      <c r="E167" s="85"/>
      <c r="F167" s="92"/>
      <c r="G167" s="85" t="str">
        <f t="shared" si="8"/>
        <v/>
      </c>
      <c r="H167" s="92">
        <f t="shared" si="9"/>
        <v>0</v>
      </c>
      <c r="I167" s="92"/>
      <c r="J167" s="92"/>
      <c r="K167" s="92"/>
      <c r="L167" s="48"/>
    </row>
    <row r="168" spans="1:12" x14ac:dyDescent="0.35">
      <c r="A168" s="2">
        <v>165</v>
      </c>
      <c r="B168" s="92"/>
      <c r="C168" s="92"/>
      <c r="D168" s="92"/>
      <c r="E168" s="85"/>
      <c r="F168" s="92"/>
      <c r="G168" s="85" t="str">
        <f t="shared" si="8"/>
        <v/>
      </c>
      <c r="H168" s="92">
        <f t="shared" si="9"/>
        <v>0</v>
      </c>
      <c r="I168" s="92"/>
      <c r="J168" s="92"/>
      <c r="K168" s="92"/>
      <c r="L168" s="48"/>
    </row>
    <row r="169" spans="1:12" x14ac:dyDescent="0.35">
      <c r="A169" s="2">
        <v>166</v>
      </c>
      <c r="B169" s="92"/>
      <c r="C169" s="92"/>
      <c r="D169" s="92"/>
      <c r="E169" s="85"/>
      <c r="F169" s="92"/>
      <c r="G169" s="85" t="str">
        <f t="shared" si="8"/>
        <v/>
      </c>
      <c r="H169" s="92">
        <f t="shared" si="9"/>
        <v>0</v>
      </c>
      <c r="I169" s="92"/>
      <c r="J169" s="92"/>
      <c r="K169" s="92"/>
      <c r="L169" s="48"/>
    </row>
    <row r="170" spans="1:12" x14ac:dyDescent="0.35">
      <c r="A170" s="2">
        <v>167</v>
      </c>
      <c r="B170" s="92"/>
      <c r="C170" s="92"/>
      <c r="D170" s="92"/>
      <c r="E170" s="85"/>
      <c r="F170" s="92"/>
      <c r="G170" s="85" t="str">
        <f t="shared" ref="G170:G233" si="10">CONCATENATE(B170,C170,D170,E170,F170)</f>
        <v/>
      </c>
      <c r="H170" s="92">
        <f t="shared" si="9"/>
        <v>0</v>
      </c>
      <c r="I170" s="92"/>
      <c r="J170" s="92"/>
      <c r="K170" s="92"/>
      <c r="L170" s="48"/>
    </row>
    <row r="171" spans="1:12" x14ac:dyDescent="0.35">
      <c r="A171" s="2">
        <v>168</v>
      </c>
      <c r="B171" s="92"/>
      <c r="C171" s="92"/>
      <c r="D171" s="92"/>
      <c r="E171" s="85"/>
      <c r="F171" s="92"/>
      <c r="G171" s="85" t="str">
        <f t="shared" si="10"/>
        <v/>
      </c>
      <c r="H171" s="92">
        <f t="shared" si="9"/>
        <v>0</v>
      </c>
      <c r="I171" s="92"/>
      <c r="J171" s="92"/>
      <c r="K171" s="92"/>
      <c r="L171" s="48"/>
    </row>
    <row r="172" spans="1:12" x14ac:dyDescent="0.35">
      <c r="A172" s="2">
        <v>169</v>
      </c>
      <c r="B172" s="92"/>
      <c r="C172" s="92"/>
      <c r="D172" s="92"/>
      <c r="E172" s="85"/>
      <c r="F172" s="92"/>
      <c r="G172" s="85" t="str">
        <f t="shared" si="10"/>
        <v/>
      </c>
      <c r="H172" s="92">
        <f t="shared" si="9"/>
        <v>0</v>
      </c>
      <c r="I172" s="92"/>
      <c r="J172" s="92"/>
      <c r="K172" s="92"/>
      <c r="L172" s="48"/>
    </row>
    <row r="173" spans="1:12" x14ac:dyDescent="0.35">
      <c r="A173" s="2">
        <v>170</v>
      </c>
      <c r="B173" s="92"/>
      <c r="C173" s="92"/>
      <c r="D173" s="92"/>
      <c r="E173" s="85"/>
      <c r="F173" s="92"/>
      <c r="G173" s="85" t="str">
        <f t="shared" si="10"/>
        <v/>
      </c>
      <c r="H173" s="92">
        <f t="shared" si="9"/>
        <v>0</v>
      </c>
      <c r="I173" s="92"/>
      <c r="J173" s="92"/>
      <c r="K173" s="92"/>
      <c r="L173" s="48"/>
    </row>
    <row r="174" spans="1:12" x14ac:dyDescent="0.35">
      <c r="A174" s="2">
        <v>171</v>
      </c>
      <c r="B174" s="92"/>
      <c r="C174" s="92"/>
      <c r="D174" s="92"/>
      <c r="E174" s="85"/>
      <c r="F174" s="92"/>
      <c r="G174" s="85" t="str">
        <f t="shared" si="10"/>
        <v/>
      </c>
      <c r="H174" s="92">
        <f t="shared" si="9"/>
        <v>0</v>
      </c>
      <c r="I174" s="92"/>
      <c r="J174" s="92"/>
      <c r="K174" s="92"/>
      <c r="L174" s="48"/>
    </row>
    <row r="175" spans="1:12" x14ac:dyDescent="0.35">
      <c r="A175" s="2">
        <v>172</v>
      </c>
      <c r="B175" s="92"/>
      <c r="C175" s="92"/>
      <c r="D175" s="92"/>
      <c r="E175" s="85"/>
      <c r="F175" s="92"/>
      <c r="G175" s="85" t="str">
        <f t="shared" si="10"/>
        <v/>
      </c>
      <c r="H175" s="92">
        <f t="shared" si="9"/>
        <v>0</v>
      </c>
      <c r="I175" s="92"/>
      <c r="J175" s="92"/>
      <c r="K175" s="92"/>
      <c r="L175" s="48"/>
    </row>
    <row r="176" spans="1:12" x14ac:dyDescent="0.35">
      <c r="A176" s="2">
        <v>173</v>
      </c>
      <c r="B176" s="92"/>
      <c r="C176" s="92"/>
      <c r="D176" s="92"/>
      <c r="E176" s="85"/>
      <c r="F176" s="92"/>
      <c r="G176" s="85" t="str">
        <f t="shared" si="10"/>
        <v/>
      </c>
      <c r="H176" s="92">
        <f t="shared" si="9"/>
        <v>0</v>
      </c>
      <c r="I176" s="92"/>
      <c r="J176" s="92"/>
      <c r="K176" s="92"/>
      <c r="L176" s="48"/>
    </row>
    <row r="177" spans="1:12" x14ac:dyDescent="0.35">
      <c r="A177" s="2">
        <v>174</v>
      </c>
      <c r="B177" s="92"/>
      <c r="C177" s="92"/>
      <c r="D177" s="92"/>
      <c r="E177" s="85"/>
      <c r="F177" s="92"/>
      <c r="G177" s="85" t="str">
        <f t="shared" si="10"/>
        <v/>
      </c>
      <c r="H177" s="92">
        <f t="shared" si="9"/>
        <v>0</v>
      </c>
      <c r="I177" s="92"/>
      <c r="J177" s="92"/>
      <c r="K177" s="92"/>
      <c r="L177" s="48"/>
    </row>
    <row r="178" spans="1:12" x14ac:dyDescent="0.35">
      <c r="A178" s="2">
        <v>175</v>
      </c>
      <c r="B178" s="92"/>
      <c r="C178" s="92"/>
      <c r="D178" s="92"/>
      <c r="E178" s="85"/>
      <c r="F178" s="92"/>
      <c r="G178" s="85" t="str">
        <f t="shared" si="10"/>
        <v/>
      </c>
      <c r="H178" s="92">
        <f t="shared" si="9"/>
        <v>0</v>
      </c>
      <c r="I178" s="92"/>
      <c r="J178" s="92"/>
      <c r="K178" s="92"/>
      <c r="L178" s="48"/>
    </row>
    <row r="179" spans="1:12" x14ac:dyDescent="0.35">
      <c r="A179" s="2">
        <v>176</v>
      </c>
      <c r="B179" s="92"/>
      <c r="C179" s="92"/>
      <c r="D179" s="92"/>
      <c r="E179" s="85"/>
      <c r="F179" s="92"/>
      <c r="G179" s="85" t="str">
        <f t="shared" si="10"/>
        <v/>
      </c>
      <c r="H179" s="92">
        <f t="shared" si="9"/>
        <v>0</v>
      </c>
      <c r="I179" s="92"/>
      <c r="J179" s="92"/>
      <c r="K179" s="92"/>
      <c r="L179" s="48"/>
    </row>
    <row r="180" spans="1:12" x14ac:dyDescent="0.35">
      <c r="A180" s="2">
        <v>177</v>
      </c>
      <c r="B180" s="92"/>
      <c r="C180" s="92"/>
      <c r="D180" s="92"/>
      <c r="E180" s="85"/>
      <c r="F180" s="92"/>
      <c r="G180" s="85" t="str">
        <f t="shared" si="10"/>
        <v/>
      </c>
      <c r="H180" s="92">
        <f t="shared" si="9"/>
        <v>0</v>
      </c>
      <c r="I180" s="92"/>
      <c r="J180" s="92"/>
      <c r="K180" s="92"/>
      <c r="L180" s="48"/>
    </row>
    <row r="181" spans="1:12" x14ac:dyDescent="0.35">
      <c r="A181" s="2">
        <v>178</v>
      </c>
      <c r="B181" s="92"/>
      <c r="C181" s="92"/>
      <c r="D181" s="92"/>
      <c r="E181" s="85"/>
      <c r="F181" s="92"/>
      <c r="G181" s="85" t="str">
        <f t="shared" si="10"/>
        <v/>
      </c>
      <c r="H181" s="92">
        <f t="shared" si="9"/>
        <v>0</v>
      </c>
      <c r="I181" s="92"/>
      <c r="J181" s="92"/>
      <c r="K181" s="92"/>
      <c r="L181" s="48"/>
    </row>
    <row r="182" spans="1:12" x14ac:dyDescent="0.35">
      <c r="A182" s="2">
        <v>179</v>
      </c>
      <c r="B182" s="92"/>
      <c r="C182" s="92"/>
      <c r="D182" s="92"/>
      <c r="E182" s="85"/>
      <c r="F182" s="92"/>
      <c r="G182" s="85" t="str">
        <f t="shared" si="10"/>
        <v/>
      </c>
      <c r="H182" s="92">
        <f t="shared" si="9"/>
        <v>0</v>
      </c>
      <c r="I182" s="92"/>
      <c r="J182" s="92"/>
      <c r="K182" s="92"/>
      <c r="L182" s="48"/>
    </row>
    <row r="183" spans="1:12" x14ac:dyDescent="0.35">
      <c r="A183" s="2">
        <v>180</v>
      </c>
      <c r="B183" s="92"/>
      <c r="C183" s="92"/>
      <c r="D183" s="92"/>
      <c r="E183" s="85"/>
      <c r="F183" s="92"/>
      <c r="G183" s="85" t="str">
        <f t="shared" si="10"/>
        <v/>
      </c>
      <c r="H183" s="92">
        <f t="shared" si="9"/>
        <v>0</v>
      </c>
      <c r="I183" s="92"/>
      <c r="J183" s="92"/>
      <c r="K183" s="92"/>
      <c r="L183" s="48"/>
    </row>
    <row r="184" spans="1:12" x14ac:dyDescent="0.35">
      <c r="A184" s="2">
        <v>181</v>
      </c>
      <c r="B184" s="92"/>
      <c r="C184" s="92"/>
      <c r="D184" s="92"/>
      <c r="E184" s="85"/>
      <c r="F184" s="92"/>
      <c r="G184" s="85" t="str">
        <f t="shared" si="10"/>
        <v/>
      </c>
      <c r="H184" s="92">
        <f t="shared" si="9"/>
        <v>0</v>
      </c>
      <c r="I184" s="92"/>
      <c r="J184" s="92"/>
      <c r="K184" s="92"/>
      <c r="L184" s="48"/>
    </row>
    <row r="185" spans="1:12" x14ac:dyDescent="0.35">
      <c r="A185" s="2">
        <v>182</v>
      </c>
      <c r="B185" s="92"/>
      <c r="C185" s="92"/>
      <c r="D185" s="92"/>
      <c r="E185" s="85"/>
      <c r="F185" s="92"/>
      <c r="G185" s="85" t="str">
        <f t="shared" si="10"/>
        <v/>
      </c>
      <c r="H185" s="92">
        <f t="shared" si="9"/>
        <v>0</v>
      </c>
      <c r="I185" s="92"/>
      <c r="J185" s="92"/>
      <c r="K185" s="92"/>
      <c r="L185" s="48"/>
    </row>
    <row r="186" spans="1:12" x14ac:dyDescent="0.35">
      <c r="A186" s="2">
        <v>183</v>
      </c>
      <c r="B186" s="92"/>
      <c r="C186" s="92"/>
      <c r="D186" s="92"/>
      <c r="E186" s="85"/>
      <c r="F186" s="92"/>
      <c r="G186" s="85" t="str">
        <f t="shared" si="10"/>
        <v/>
      </c>
      <c r="H186" s="92">
        <f t="shared" si="9"/>
        <v>0</v>
      </c>
      <c r="I186" s="92"/>
      <c r="J186" s="92"/>
      <c r="K186" s="92"/>
      <c r="L186" s="48"/>
    </row>
    <row r="187" spans="1:12" x14ac:dyDescent="0.35">
      <c r="A187" s="2">
        <v>184</v>
      </c>
      <c r="B187" s="92"/>
      <c r="C187" s="92"/>
      <c r="D187" s="92"/>
      <c r="E187" s="85"/>
      <c r="F187" s="92"/>
      <c r="G187" s="85" t="str">
        <f t="shared" si="10"/>
        <v/>
      </c>
      <c r="H187" s="92">
        <f t="shared" si="9"/>
        <v>0</v>
      </c>
      <c r="I187" s="92"/>
      <c r="J187" s="92"/>
      <c r="K187" s="92"/>
      <c r="L187" s="48"/>
    </row>
    <row r="188" spans="1:12" x14ac:dyDescent="0.35">
      <c r="A188" s="2">
        <v>185</v>
      </c>
      <c r="B188" s="92"/>
      <c r="C188" s="92"/>
      <c r="D188" s="92"/>
      <c r="E188" s="85"/>
      <c r="F188" s="92"/>
      <c r="G188" s="85" t="str">
        <f t="shared" si="10"/>
        <v/>
      </c>
      <c r="H188" s="92">
        <f t="shared" si="9"/>
        <v>0</v>
      </c>
      <c r="I188" s="92"/>
      <c r="J188" s="92"/>
      <c r="K188" s="92"/>
      <c r="L188" s="48"/>
    </row>
    <row r="189" spans="1:12" x14ac:dyDescent="0.35">
      <c r="A189" s="2">
        <v>186</v>
      </c>
      <c r="B189" s="92"/>
      <c r="C189" s="92"/>
      <c r="D189" s="92"/>
      <c r="E189" s="85"/>
      <c r="F189" s="92"/>
      <c r="G189" s="85" t="str">
        <f t="shared" si="10"/>
        <v/>
      </c>
      <c r="H189" s="92">
        <f t="shared" si="9"/>
        <v>0</v>
      </c>
      <c r="I189" s="92"/>
      <c r="J189" s="92"/>
      <c r="K189" s="92"/>
      <c r="L189" s="48"/>
    </row>
    <row r="190" spans="1:12" x14ac:dyDescent="0.35">
      <c r="A190" s="2">
        <v>187</v>
      </c>
      <c r="B190" s="92"/>
      <c r="C190" s="92"/>
      <c r="D190" s="92"/>
      <c r="E190" s="85"/>
      <c r="F190" s="92"/>
      <c r="G190" s="85" t="str">
        <f t="shared" si="10"/>
        <v/>
      </c>
      <c r="H190" s="92">
        <f t="shared" si="9"/>
        <v>0</v>
      </c>
      <c r="I190" s="92"/>
      <c r="J190" s="92"/>
      <c r="K190" s="92"/>
      <c r="L190" s="48"/>
    </row>
    <row r="191" spans="1:12" x14ac:dyDescent="0.35">
      <c r="A191" s="2">
        <v>188</v>
      </c>
      <c r="B191" s="92"/>
      <c r="C191" s="92"/>
      <c r="D191" s="92"/>
      <c r="E191" s="85"/>
      <c r="F191" s="92"/>
      <c r="G191" s="85" t="str">
        <f t="shared" si="10"/>
        <v/>
      </c>
      <c r="H191" s="92">
        <f t="shared" si="9"/>
        <v>0</v>
      </c>
      <c r="I191" s="92"/>
      <c r="J191" s="92"/>
      <c r="K191" s="92"/>
      <c r="L191" s="48"/>
    </row>
    <row r="192" spans="1:12" x14ac:dyDescent="0.35">
      <c r="A192" s="2">
        <v>189</v>
      </c>
      <c r="B192" s="92"/>
      <c r="C192" s="92"/>
      <c r="D192" s="92"/>
      <c r="E192" s="85"/>
      <c r="F192" s="92"/>
      <c r="G192" s="85" t="str">
        <f t="shared" si="10"/>
        <v/>
      </c>
      <c r="H192" s="92">
        <f t="shared" si="9"/>
        <v>0</v>
      </c>
      <c r="I192" s="92"/>
      <c r="J192" s="92"/>
      <c r="K192" s="92"/>
      <c r="L192" s="48"/>
    </row>
    <row r="193" spans="1:12" x14ac:dyDescent="0.35">
      <c r="A193" s="2">
        <v>190</v>
      </c>
      <c r="B193" s="92"/>
      <c r="C193" s="92"/>
      <c r="D193" s="92"/>
      <c r="E193" s="85"/>
      <c r="F193" s="92"/>
      <c r="G193" s="85" t="str">
        <f t="shared" si="10"/>
        <v/>
      </c>
      <c r="H193" s="92">
        <f t="shared" si="9"/>
        <v>0</v>
      </c>
      <c r="I193" s="92"/>
      <c r="J193" s="92"/>
      <c r="K193" s="92"/>
      <c r="L193" s="48"/>
    </row>
    <row r="194" spans="1:12" x14ac:dyDescent="0.35">
      <c r="A194" s="2">
        <v>191</v>
      </c>
      <c r="B194" s="92"/>
      <c r="C194" s="92"/>
      <c r="D194" s="92"/>
      <c r="E194" s="85"/>
      <c r="F194" s="92"/>
      <c r="G194" s="85" t="str">
        <f t="shared" si="10"/>
        <v/>
      </c>
      <c r="H194" s="92">
        <f t="shared" si="9"/>
        <v>0</v>
      </c>
      <c r="I194" s="92"/>
      <c r="J194" s="92"/>
      <c r="K194" s="92"/>
      <c r="L194" s="48"/>
    </row>
    <row r="195" spans="1:12" x14ac:dyDescent="0.35">
      <c r="A195" s="2">
        <v>192</v>
      </c>
      <c r="B195" s="92"/>
      <c r="C195" s="92"/>
      <c r="D195" s="92"/>
      <c r="E195" s="85"/>
      <c r="F195" s="92"/>
      <c r="G195" s="85" t="str">
        <f t="shared" si="10"/>
        <v/>
      </c>
      <c r="H195" s="92">
        <f t="shared" si="9"/>
        <v>0</v>
      </c>
      <c r="I195" s="92"/>
      <c r="J195" s="92"/>
      <c r="K195" s="92"/>
      <c r="L195" s="48"/>
    </row>
    <row r="196" spans="1:12" x14ac:dyDescent="0.35">
      <c r="A196" s="2">
        <v>193</v>
      </c>
      <c r="B196" s="92"/>
      <c r="C196" s="92"/>
      <c r="D196" s="92"/>
      <c r="E196" s="85"/>
      <c r="F196" s="92"/>
      <c r="G196" s="85" t="str">
        <f t="shared" si="10"/>
        <v/>
      </c>
      <c r="H196" s="92">
        <f t="shared" si="9"/>
        <v>0</v>
      </c>
      <c r="I196" s="92"/>
      <c r="J196" s="92"/>
      <c r="K196" s="92"/>
      <c r="L196" s="48"/>
    </row>
    <row r="197" spans="1:12" x14ac:dyDescent="0.35">
      <c r="A197" s="2">
        <v>194</v>
      </c>
      <c r="B197" s="92"/>
      <c r="C197" s="92"/>
      <c r="D197" s="92"/>
      <c r="E197" s="85"/>
      <c r="F197" s="92"/>
      <c r="G197" s="85" t="str">
        <f t="shared" si="10"/>
        <v/>
      </c>
      <c r="H197" s="92">
        <f t="shared" si="9"/>
        <v>0</v>
      </c>
      <c r="I197" s="92"/>
      <c r="J197" s="92"/>
      <c r="K197" s="92"/>
      <c r="L197" s="48"/>
    </row>
    <row r="198" spans="1:12" x14ac:dyDescent="0.35">
      <c r="A198" s="2">
        <v>195</v>
      </c>
      <c r="B198" s="92"/>
      <c r="C198" s="92"/>
      <c r="D198" s="92"/>
      <c r="E198" s="85"/>
      <c r="F198" s="92"/>
      <c r="G198" s="85" t="str">
        <f t="shared" si="10"/>
        <v/>
      </c>
      <c r="H198" s="92">
        <f t="shared" si="9"/>
        <v>0</v>
      </c>
      <c r="I198" s="92"/>
      <c r="J198" s="92"/>
      <c r="K198" s="92"/>
      <c r="L198" s="48"/>
    </row>
    <row r="199" spans="1:12" x14ac:dyDescent="0.35">
      <c r="A199" s="2">
        <v>196</v>
      </c>
      <c r="B199" s="92"/>
      <c r="C199" s="92"/>
      <c r="D199" s="92"/>
      <c r="E199" s="85"/>
      <c r="F199" s="92"/>
      <c r="G199" s="85" t="str">
        <f t="shared" si="10"/>
        <v/>
      </c>
      <c r="H199" s="92">
        <f t="shared" si="9"/>
        <v>0</v>
      </c>
      <c r="I199" s="92"/>
      <c r="J199" s="92"/>
      <c r="K199" s="92"/>
      <c r="L199" s="48"/>
    </row>
    <row r="200" spans="1:12" x14ac:dyDescent="0.35">
      <c r="A200" s="2">
        <v>197</v>
      </c>
      <c r="B200" s="92"/>
      <c r="C200" s="92"/>
      <c r="D200" s="92"/>
      <c r="E200" s="85"/>
      <c r="F200" s="92"/>
      <c r="G200" s="85" t="str">
        <f t="shared" si="10"/>
        <v/>
      </c>
      <c r="H200" s="92">
        <f t="shared" si="9"/>
        <v>0</v>
      </c>
      <c r="I200" s="92"/>
      <c r="J200" s="92"/>
      <c r="K200" s="92"/>
      <c r="L200" s="48"/>
    </row>
    <row r="201" spans="1:12" x14ac:dyDescent="0.35">
      <c r="A201" s="2">
        <v>198</v>
      </c>
      <c r="B201" s="92"/>
      <c r="C201" s="92"/>
      <c r="D201" s="92"/>
      <c r="E201" s="85"/>
      <c r="F201" s="92"/>
      <c r="G201" s="85" t="str">
        <f t="shared" si="10"/>
        <v/>
      </c>
      <c r="H201" s="92">
        <f t="shared" ref="H201:H264" si="11">I201/8</f>
        <v>0</v>
      </c>
      <c r="I201" s="92"/>
      <c r="J201" s="92"/>
      <c r="K201" s="92"/>
      <c r="L201" s="48"/>
    </row>
    <row r="202" spans="1:12" x14ac:dyDescent="0.35">
      <c r="A202" s="2">
        <v>199</v>
      </c>
      <c r="B202" s="92"/>
      <c r="C202" s="92"/>
      <c r="D202" s="92"/>
      <c r="E202" s="85"/>
      <c r="F202" s="92"/>
      <c r="G202" s="85" t="str">
        <f t="shared" si="10"/>
        <v/>
      </c>
      <c r="H202" s="92">
        <f t="shared" si="11"/>
        <v>0</v>
      </c>
      <c r="I202" s="92"/>
      <c r="J202" s="92"/>
      <c r="K202" s="92"/>
      <c r="L202" s="48"/>
    </row>
    <row r="203" spans="1:12" x14ac:dyDescent="0.35">
      <c r="A203" s="2">
        <v>200</v>
      </c>
      <c r="B203" s="92"/>
      <c r="C203" s="92"/>
      <c r="D203" s="92"/>
      <c r="E203" s="85"/>
      <c r="F203" s="92"/>
      <c r="G203" s="85" t="str">
        <f t="shared" si="10"/>
        <v/>
      </c>
      <c r="H203" s="92">
        <f t="shared" si="11"/>
        <v>0</v>
      </c>
      <c r="I203" s="92"/>
      <c r="J203" s="92"/>
      <c r="K203" s="92"/>
      <c r="L203" s="48"/>
    </row>
    <row r="204" spans="1:12" x14ac:dyDescent="0.35">
      <c r="A204" s="2">
        <v>201</v>
      </c>
      <c r="B204" s="92"/>
      <c r="C204" s="92"/>
      <c r="D204" s="92"/>
      <c r="E204" s="85"/>
      <c r="F204" s="92"/>
      <c r="G204" s="85" t="str">
        <f t="shared" si="10"/>
        <v/>
      </c>
      <c r="H204" s="92">
        <f t="shared" si="11"/>
        <v>0</v>
      </c>
      <c r="I204" s="92"/>
      <c r="J204" s="92"/>
      <c r="K204" s="92"/>
      <c r="L204" s="48"/>
    </row>
    <row r="205" spans="1:12" x14ac:dyDescent="0.35">
      <c r="A205" s="2">
        <v>202</v>
      </c>
      <c r="B205" s="92"/>
      <c r="C205" s="92"/>
      <c r="D205" s="92"/>
      <c r="E205" s="85"/>
      <c r="F205" s="92"/>
      <c r="G205" s="85" t="str">
        <f t="shared" si="10"/>
        <v/>
      </c>
      <c r="H205" s="92">
        <f t="shared" si="11"/>
        <v>0</v>
      </c>
      <c r="I205" s="92"/>
      <c r="J205" s="92"/>
      <c r="K205" s="92"/>
      <c r="L205" s="48"/>
    </row>
    <row r="206" spans="1:12" x14ac:dyDescent="0.35">
      <c r="A206" s="2">
        <v>203</v>
      </c>
      <c r="B206" s="92"/>
      <c r="C206" s="92"/>
      <c r="D206" s="92"/>
      <c r="E206" s="85"/>
      <c r="F206" s="92"/>
      <c r="G206" s="85" t="str">
        <f t="shared" si="10"/>
        <v/>
      </c>
      <c r="H206" s="92">
        <f t="shared" si="11"/>
        <v>0</v>
      </c>
      <c r="I206" s="92"/>
      <c r="J206" s="92"/>
      <c r="K206" s="92"/>
      <c r="L206" s="48"/>
    </row>
    <row r="207" spans="1:12" x14ac:dyDescent="0.35">
      <c r="A207" s="2">
        <v>204</v>
      </c>
      <c r="B207" s="92"/>
      <c r="C207" s="92"/>
      <c r="D207" s="92"/>
      <c r="E207" s="85"/>
      <c r="F207" s="92"/>
      <c r="G207" s="85" t="str">
        <f t="shared" si="10"/>
        <v/>
      </c>
      <c r="H207" s="92">
        <f t="shared" si="11"/>
        <v>0</v>
      </c>
      <c r="I207" s="92"/>
      <c r="J207" s="92"/>
      <c r="K207" s="92"/>
      <c r="L207" s="48"/>
    </row>
    <row r="208" spans="1:12" x14ac:dyDescent="0.35">
      <c r="A208" s="2">
        <v>205</v>
      </c>
      <c r="B208" s="92"/>
      <c r="C208" s="92"/>
      <c r="D208" s="92"/>
      <c r="E208" s="85"/>
      <c r="F208" s="92"/>
      <c r="G208" s="85" t="str">
        <f t="shared" si="10"/>
        <v/>
      </c>
      <c r="H208" s="92">
        <f t="shared" si="11"/>
        <v>0</v>
      </c>
      <c r="I208" s="92"/>
      <c r="J208" s="92"/>
      <c r="K208" s="92"/>
      <c r="L208" s="48"/>
    </row>
    <row r="209" spans="1:12" x14ac:dyDescent="0.35">
      <c r="A209" s="2">
        <v>206</v>
      </c>
      <c r="B209" s="92"/>
      <c r="C209" s="92"/>
      <c r="D209" s="92"/>
      <c r="E209" s="85"/>
      <c r="F209" s="92"/>
      <c r="G209" s="85" t="str">
        <f t="shared" si="10"/>
        <v/>
      </c>
      <c r="H209" s="92">
        <f t="shared" si="11"/>
        <v>0</v>
      </c>
      <c r="I209" s="92"/>
      <c r="J209" s="92"/>
      <c r="K209" s="92"/>
      <c r="L209" s="48"/>
    </row>
    <row r="210" spans="1:12" x14ac:dyDescent="0.35">
      <c r="A210" s="2">
        <v>207</v>
      </c>
      <c r="B210" s="92"/>
      <c r="C210" s="92"/>
      <c r="D210" s="92"/>
      <c r="E210" s="85"/>
      <c r="F210" s="92"/>
      <c r="G210" s="85" t="str">
        <f t="shared" si="10"/>
        <v/>
      </c>
      <c r="H210" s="92">
        <f t="shared" si="11"/>
        <v>0</v>
      </c>
      <c r="I210" s="92"/>
      <c r="J210" s="92"/>
      <c r="K210" s="92"/>
      <c r="L210" s="48"/>
    </row>
    <row r="211" spans="1:12" x14ac:dyDescent="0.35">
      <c r="A211" s="2">
        <v>208</v>
      </c>
      <c r="B211" s="92"/>
      <c r="C211" s="92"/>
      <c r="D211" s="92"/>
      <c r="E211" s="85"/>
      <c r="F211" s="92"/>
      <c r="G211" s="85" t="str">
        <f t="shared" si="10"/>
        <v/>
      </c>
      <c r="H211" s="92">
        <f t="shared" si="11"/>
        <v>0</v>
      </c>
      <c r="I211" s="92"/>
      <c r="J211" s="92"/>
      <c r="K211" s="92"/>
      <c r="L211" s="48"/>
    </row>
    <row r="212" spans="1:12" x14ac:dyDescent="0.35">
      <c r="A212" s="2">
        <v>209</v>
      </c>
      <c r="B212" s="92"/>
      <c r="C212" s="92"/>
      <c r="D212" s="92"/>
      <c r="E212" s="85"/>
      <c r="F212" s="92"/>
      <c r="G212" s="85" t="str">
        <f t="shared" si="10"/>
        <v/>
      </c>
      <c r="H212" s="92">
        <f t="shared" si="11"/>
        <v>0</v>
      </c>
      <c r="I212" s="92"/>
      <c r="J212" s="92"/>
      <c r="K212" s="92"/>
      <c r="L212" s="48"/>
    </row>
    <row r="213" spans="1:12" x14ac:dyDescent="0.35">
      <c r="A213" s="2">
        <v>210</v>
      </c>
      <c r="B213" s="92"/>
      <c r="C213" s="92"/>
      <c r="D213" s="92"/>
      <c r="E213" s="85"/>
      <c r="F213" s="92"/>
      <c r="G213" s="85" t="str">
        <f t="shared" si="10"/>
        <v/>
      </c>
      <c r="H213" s="92">
        <f t="shared" si="11"/>
        <v>0</v>
      </c>
      <c r="I213" s="92"/>
      <c r="J213" s="92"/>
      <c r="K213" s="92"/>
      <c r="L213" s="48"/>
    </row>
    <row r="214" spans="1:12" x14ac:dyDescent="0.35">
      <c r="A214" s="2">
        <v>211</v>
      </c>
      <c r="B214" s="92"/>
      <c r="C214" s="92"/>
      <c r="D214" s="92"/>
      <c r="E214" s="85"/>
      <c r="F214" s="92"/>
      <c r="G214" s="85" t="str">
        <f t="shared" si="10"/>
        <v/>
      </c>
      <c r="H214" s="92">
        <f t="shared" si="11"/>
        <v>0</v>
      </c>
      <c r="I214" s="92"/>
      <c r="J214" s="92"/>
      <c r="K214" s="92"/>
      <c r="L214" s="48"/>
    </row>
    <row r="215" spans="1:12" x14ac:dyDescent="0.35">
      <c r="A215" s="2">
        <v>212</v>
      </c>
      <c r="B215" s="92"/>
      <c r="C215" s="92"/>
      <c r="D215" s="92"/>
      <c r="E215" s="85"/>
      <c r="F215" s="92"/>
      <c r="G215" s="85" t="str">
        <f t="shared" si="10"/>
        <v/>
      </c>
      <c r="H215" s="92">
        <f t="shared" si="11"/>
        <v>0</v>
      </c>
      <c r="I215" s="92"/>
      <c r="J215" s="92"/>
      <c r="K215" s="92"/>
      <c r="L215" s="48"/>
    </row>
    <row r="216" spans="1:12" x14ac:dyDescent="0.35">
      <c r="A216" s="2">
        <v>213</v>
      </c>
      <c r="B216" s="92"/>
      <c r="C216" s="92"/>
      <c r="D216" s="92"/>
      <c r="E216" s="85"/>
      <c r="F216" s="92"/>
      <c r="G216" s="85" t="str">
        <f t="shared" si="10"/>
        <v/>
      </c>
      <c r="H216" s="92">
        <f t="shared" si="11"/>
        <v>0</v>
      </c>
      <c r="I216" s="92"/>
      <c r="J216" s="92"/>
      <c r="K216" s="92"/>
      <c r="L216" s="48"/>
    </row>
    <row r="217" spans="1:12" x14ac:dyDescent="0.35">
      <c r="A217" s="2">
        <v>214</v>
      </c>
      <c r="B217" s="92"/>
      <c r="C217" s="92"/>
      <c r="D217" s="92"/>
      <c r="E217" s="85"/>
      <c r="F217" s="92"/>
      <c r="G217" s="85" t="str">
        <f t="shared" si="10"/>
        <v/>
      </c>
      <c r="H217" s="92">
        <f t="shared" si="11"/>
        <v>0</v>
      </c>
      <c r="I217" s="92"/>
      <c r="J217" s="92"/>
      <c r="K217" s="92"/>
      <c r="L217" s="48"/>
    </row>
    <row r="218" spans="1:12" x14ac:dyDescent="0.35">
      <c r="A218" s="2">
        <v>215</v>
      </c>
      <c r="B218" s="92"/>
      <c r="C218" s="92"/>
      <c r="D218" s="92"/>
      <c r="E218" s="85"/>
      <c r="F218" s="92"/>
      <c r="G218" s="85" t="str">
        <f t="shared" si="10"/>
        <v/>
      </c>
      <c r="H218" s="92">
        <f t="shared" si="11"/>
        <v>0</v>
      </c>
      <c r="I218" s="92"/>
      <c r="J218" s="92"/>
      <c r="K218" s="92"/>
      <c r="L218" s="48"/>
    </row>
    <row r="219" spans="1:12" x14ac:dyDescent="0.35">
      <c r="A219" s="2">
        <v>216</v>
      </c>
      <c r="B219" s="92"/>
      <c r="C219" s="92"/>
      <c r="D219" s="92"/>
      <c r="E219" s="85"/>
      <c r="F219" s="92"/>
      <c r="G219" s="85" t="str">
        <f t="shared" si="10"/>
        <v/>
      </c>
      <c r="H219" s="92">
        <f t="shared" si="11"/>
        <v>0</v>
      </c>
      <c r="I219" s="92"/>
      <c r="J219" s="92"/>
      <c r="K219" s="92"/>
      <c r="L219" s="48"/>
    </row>
    <row r="220" spans="1:12" x14ac:dyDescent="0.35">
      <c r="A220" s="2">
        <v>217</v>
      </c>
      <c r="B220" s="92"/>
      <c r="C220" s="92"/>
      <c r="D220" s="92"/>
      <c r="E220" s="85"/>
      <c r="F220" s="92"/>
      <c r="G220" s="85" t="str">
        <f t="shared" si="10"/>
        <v/>
      </c>
      <c r="H220" s="92">
        <f t="shared" si="11"/>
        <v>0</v>
      </c>
      <c r="I220" s="92"/>
      <c r="J220" s="92"/>
      <c r="K220" s="92"/>
      <c r="L220" s="48"/>
    </row>
    <row r="221" spans="1:12" x14ac:dyDescent="0.35">
      <c r="A221" s="2">
        <v>218</v>
      </c>
      <c r="B221" s="92"/>
      <c r="C221" s="92"/>
      <c r="D221" s="92"/>
      <c r="E221" s="85"/>
      <c r="F221" s="92"/>
      <c r="G221" s="85" t="str">
        <f t="shared" si="10"/>
        <v/>
      </c>
      <c r="H221" s="92">
        <f t="shared" si="11"/>
        <v>0</v>
      </c>
      <c r="I221" s="92"/>
      <c r="J221" s="92"/>
      <c r="K221" s="92"/>
      <c r="L221" s="48"/>
    </row>
    <row r="222" spans="1:12" x14ac:dyDescent="0.35">
      <c r="A222" s="2">
        <v>219</v>
      </c>
      <c r="B222" s="92"/>
      <c r="C222" s="92"/>
      <c r="D222" s="92"/>
      <c r="E222" s="85"/>
      <c r="F222" s="92"/>
      <c r="G222" s="85" t="str">
        <f t="shared" si="10"/>
        <v/>
      </c>
      <c r="H222" s="92">
        <f t="shared" si="11"/>
        <v>0</v>
      </c>
      <c r="I222" s="92"/>
      <c r="J222" s="92"/>
      <c r="K222" s="92"/>
      <c r="L222" s="48"/>
    </row>
    <row r="223" spans="1:12" x14ac:dyDescent="0.35">
      <c r="A223" s="2">
        <v>220</v>
      </c>
      <c r="B223" s="92"/>
      <c r="C223" s="92"/>
      <c r="D223" s="92"/>
      <c r="E223" s="85"/>
      <c r="F223" s="92"/>
      <c r="G223" s="85" t="str">
        <f t="shared" si="10"/>
        <v/>
      </c>
      <c r="H223" s="92">
        <f t="shared" si="11"/>
        <v>0</v>
      </c>
      <c r="I223" s="92"/>
      <c r="J223" s="92"/>
      <c r="K223" s="92"/>
      <c r="L223" s="48"/>
    </row>
    <row r="224" spans="1:12" x14ac:dyDescent="0.35">
      <c r="A224" s="2">
        <v>221</v>
      </c>
      <c r="B224" s="92"/>
      <c r="C224" s="92"/>
      <c r="D224" s="92"/>
      <c r="E224" s="85"/>
      <c r="F224" s="92"/>
      <c r="G224" s="85" t="str">
        <f t="shared" si="10"/>
        <v/>
      </c>
      <c r="H224" s="92">
        <f t="shared" si="11"/>
        <v>0</v>
      </c>
      <c r="I224" s="92"/>
      <c r="J224" s="92"/>
      <c r="K224" s="92"/>
      <c r="L224" s="48"/>
    </row>
    <row r="225" spans="1:12" x14ac:dyDescent="0.35">
      <c r="A225" s="2">
        <v>222</v>
      </c>
      <c r="B225" s="92"/>
      <c r="C225" s="92"/>
      <c r="D225" s="92"/>
      <c r="E225" s="85"/>
      <c r="F225" s="92"/>
      <c r="G225" s="85" t="str">
        <f t="shared" si="10"/>
        <v/>
      </c>
      <c r="H225" s="92">
        <f t="shared" si="11"/>
        <v>0</v>
      </c>
      <c r="I225" s="92"/>
      <c r="J225" s="92"/>
      <c r="K225" s="92"/>
      <c r="L225" s="48"/>
    </row>
    <row r="226" spans="1:12" x14ac:dyDescent="0.35">
      <c r="A226" s="2">
        <v>223</v>
      </c>
      <c r="B226" s="92"/>
      <c r="C226" s="92"/>
      <c r="D226" s="92"/>
      <c r="E226" s="85"/>
      <c r="F226" s="92"/>
      <c r="G226" s="85" t="str">
        <f t="shared" si="10"/>
        <v/>
      </c>
      <c r="H226" s="92">
        <f t="shared" si="11"/>
        <v>0</v>
      </c>
      <c r="I226" s="92"/>
      <c r="J226" s="92"/>
      <c r="K226" s="92"/>
      <c r="L226" s="48"/>
    </row>
    <row r="227" spans="1:12" x14ac:dyDescent="0.35">
      <c r="A227" s="2">
        <v>224</v>
      </c>
      <c r="B227" s="92"/>
      <c r="C227" s="92"/>
      <c r="D227" s="92"/>
      <c r="E227" s="85"/>
      <c r="F227" s="92"/>
      <c r="G227" s="85" t="str">
        <f t="shared" si="10"/>
        <v/>
      </c>
      <c r="H227" s="92">
        <f t="shared" si="11"/>
        <v>0</v>
      </c>
      <c r="I227" s="92"/>
      <c r="J227" s="92"/>
      <c r="K227" s="92"/>
      <c r="L227" s="48"/>
    </row>
    <row r="228" spans="1:12" x14ac:dyDescent="0.35">
      <c r="A228" s="2">
        <v>225</v>
      </c>
      <c r="B228" s="92"/>
      <c r="C228" s="92"/>
      <c r="D228" s="92"/>
      <c r="E228" s="85"/>
      <c r="F228" s="92"/>
      <c r="G228" s="85" t="str">
        <f t="shared" si="10"/>
        <v/>
      </c>
      <c r="H228" s="92">
        <f t="shared" si="11"/>
        <v>0</v>
      </c>
      <c r="I228" s="92"/>
      <c r="J228" s="92"/>
      <c r="K228" s="92"/>
      <c r="L228" s="48"/>
    </row>
    <row r="229" spans="1:12" x14ac:dyDescent="0.35">
      <c r="A229" s="2">
        <v>226</v>
      </c>
      <c r="B229" s="92"/>
      <c r="C229" s="92"/>
      <c r="D229" s="92"/>
      <c r="E229" s="85"/>
      <c r="F229" s="92"/>
      <c r="G229" s="85" t="str">
        <f t="shared" si="10"/>
        <v/>
      </c>
      <c r="H229" s="92">
        <f t="shared" si="11"/>
        <v>0</v>
      </c>
      <c r="I229" s="92"/>
      <c r="J229" s="92"/>
      <c r="K229" s="92"/>
      <c r="L229" s="48"/>
    </row>
    <row r="230" spans="1:12" x14ac:dyDescent="0.35">
      <c r="A230" s="2">
        <v>227</v>
      </c>
      <c r="B230" s="92"/>
      <c r="C230" s="92"/>
      <c r="D230" s="92"/>
      <c r="E230" s="85"/>
      <c r="F230" s="92"/>
      <c r="G230" s="85" t="str">
        <f t="shared" si="10"/>
        <v/>
      </c>
      <c r="H230" s="92">
        <f t="shared" si="11"/>
        <v>0</v>
      </c>
      <c r="I230" s="92"/>
      <c r="J230" s="92"/>
      <c r="K230" s="92"/>
      <c r="L230" s="48"/>
    </row>
    <row r="231" spans="1:12" x14ac:dyDescent="0.35">
      <c r="A231" s="2">
        <v>228</v>
      </c>
      <c r="B231" s="92"/>
      <c r="C231" s="92"/>
      <c r="D231" s="92"/>
      <c r="E231" s="85"/>
      <c r="F231" s="92"/>
      <c r="G231" s="85" t="str">
        <f t="shared" si="10"/>
        <v/>
      </c>
      <c r="H231" s="92">
        <f t="shared" si="11"/>
        <v>0</v>
      </c>
      <c r="I231" s="92"/>
      <c r="J231" s="92"/>
      <c r="K231" s="92"/>
      <c r="L231" s="48"/>
    </row>
    <row r="232" spans="1:12" x14ac:dyDescent="0.35">
      <c r="A232" s="2">
        <v>229</v>
      </c>
      <c r="B232" s="92"/>
      <c r="C232" s="92"/>
      <c r="D232" s="92"/>
      <c r="E232" s="85"/>
      <c r="F232" s="92"/>
      <c r="G232" s="85" t="str">
        <f t="shared" si="10"/>
        <v/>
      </c>
      <c r="H232" s="92">
        <f t="shared" si="11"/>
        <v>0</v>
      </c>
      <c r="I232" s="92"/>
      <c r="J232" s="92"/>
      <c r="K232" s="92"/>
      <c r="L232" s="48"/>
    </row>
    <row r="233" spans="1:12" x14ac:dyDescent="0.35">
      <c r="A233" s="2">
        <v>230</v>
      </c>
      <c r="B233" s="92"/>
      <c r="C233" s="92"/>
      <c r="D233" s="92"/>
      <c r="E233" s="85"/>
      <c r="F233" s="92"/>
      <c r="G233" s="85" t="str">
        <f t="shared" si="10"/>
        <v/>
      </c>
      <c r="H233" s="92">
        <f t="shared" si="11"/>
        <v>0</v>
      </c>
      <c r="I233" s="92"/>
      <c r="J233" s="92"/>
      <c r="K233" s="92"/>
      <c r="L233" s="48"/>
    </row>
    <row r="234" spans="1:12" x14ac:dyDescent="0.35">
      <c r="A234" s="2">
        <v>231</v>
      </c>
      <c r="B234" s="92"/>
      <c r="C234" s="92"/>
      <c r="D234" s="92"/>
      <c r="E234" s="85"/>
      <c r="F234" s="92"/>
      <c r="G234" s="85" t="str">
        <f t="shared" ref="G234:G297" si="12">CONCATENATE(B234,C234,D234,E234,F234)</f>
        <v/>
      </c>
      <c r="H234" s="92">
        <f t="shared" si="11"/>
        <v>0</v>
      </c>
      <c r="I234" s="92"/>
      <c r="J234" s="92"/>
      <c r="K234" s="92"/>
      <c r="L234" s="48"/>
    </row>
    <row r="235" spans="1:12" x14ac:dyDescent="0.35">
      <c r="A235" s="2">
        <v>232</v>
      </c>
      <c r="B235" s="92"/>
      <c r="C235" s="92"/>
      <c r="D235" s="92"/>
      <c r="E235" s="85"/>
      <c r="F235" s="92"/>
      <c r="G235" s="85" t="str">
        <f t="shared" si="12"/>
        <v/>
      </c>
      <c r="H235" s="92">
        <f t="shared" si="11"/>
        <v>0</v>
      </c>
      <c r="I235" s="92"/>
      <c r="J235" s="92"/>
      <c r="K235" s="92"/>
      <c r="L235" s="48"/>
    </row>
    <row r="236" spans="1:12" x14ac:dyDescent="0.35">
      <c r="A236" s="2">
        <v>233</v>
      </c>
      <c r="B236" s="92"/>
      <c r="C236" s="92"/>
      <c r="D236" s="92"/>
      <c r="E236" s="85"/>
      <c r="F236" s="92"/>
      <c r="G236" s="85" t="str">
        <f t="shared" si="12"/>
        <v/>
      </c>
      <c r="H236" s="92">
        <f t="shared" si="11"/>
        <v>0</v>
      </c>
      <c r="I236" s="92"/>
      <c r="J236" s="92"/>
      <c r="K236" s="92"/>
      <c r="L236" s="48"/>
    </row>
    <row r="237" spans="1:12" x14ac:dyDescent="0.35">
      <c r="A237" s="2">
        <v>234</v>
      </c>
      <c r="B237" s="92"/>
      <c r="C237" s="92"/>
      <c r="D237" s="92"/>
      <c r="E237" s="85"/>
      <c r="F237" s="92"/>
      <c r="G237" s="85" t="str">
        <f t="shared" si="12"/>
        <v/>
      </c>
      <c r="H237" s="92">
        <f t="shared" si="11"/>
        <v>0</v>
      </c>
      <c r="I237" s="92"/>
      <c r="J237" s="92"/>
      <c r="K237" s="92"/>
      <c r="L237" s="48"/>
    </row>
    <row r="238" spans="1:12" x14ac:dyDescent="0.35">
      <c r="A238" s="2">
        <v>235</v>
      </c>
      <c r="B238" s="92"/>
      <c r="C238" s="92"/>
      <c r="D238" s="92"/>
      <c r="E238" s="85"/>
      <c r="F238" s="92"/>
      <c r="G238" s="85" t="str">
        <f t="shared" si="12"/>
        <v/>
      </c>
      <c r="H238" s="92">
        <f t="shared" si="11"/>
        <v>0</v>
      </c>
      <c r="I238" s="92"/>
      <c r="J238" s="92"/>
      <c r="K238" s="92"/>
      <c r="L238" s="48"/>
    </row>
    <row r="239" spans="1:12" x14ac:dyDescent="0.35">
      <c r="A239" s="2">
        <v>236</v>
      </c>
      <c r="B239" s="92"/>
      <c r="C239" s="92"/>
      <c r="D239" s="92"/>
      <c r="E239" s="85"/>
      <c r="F239" s="92"/>
      <c r="G239" s="85" t="str">
        <f t="shared" si="12"/>
        <v/>
      </c>
      <c r="H239" s="92">
        <f t="shared" si="11"/>
        <v>0</v>
      </c>
      <c r="I239" s="92"/>
      <c r="J239" s="92"/>
      <c r="K239" s="92"/>
      <c r="L239" s="48"/>
    </row>
    <row r="240" spans="1:12" x14ac:dyDescent="0.35">
      <c r="A240" s="2">
        <v>237</v>
      </c>
      <c r="B240" s="92"/>
      <c r="C240" s="92"/>
      <c r="D240" s="92"/>
      <c r="E240" s="85"/>
      <c r="F240" s="92"/>
      <c r="G240" s="85" t="str">
        <f t="shared" si="12"/>
        <v/>
      </c>
      <c r="H240" s="92">
        <f t="shared" si="11"/>
        <v>0</v>
      </c>
      <c r="I240" s="92"/>
      <c r="J240" s="92"/>
      <c r="K240" s="92"/>
      <c r="L240" s="48"/>
    </row>
    <row r="241" spans="1:12" x14ac:dyDescent="0.35">
      <c r="A241" s="2">
        <v>238</v>
      </c>
      <c r="B241" s="92"/>
      <c r="C241" s="92"/>
      <c r="D241" s="92"/>
      <c r="E241" s="85"/>
      <c r="F241" s="92"/>
      <c r="G241" s="85" t="str">
        <f t="shared" si="12"/>
        <v/>
      </c>
      <c r="H241" s="92">
        <f t="shared" si="11"/>
        <v>0</v>
      </c>
      <c r="I241" s="92"/>
      <c r="J241" s="92"/>
      <c r="K241" s="92"/>
      <c r="L241" s="48"/>
    </row>
    <row r="242" spans="1:12" x14ac:dyDescent="0.35">
      <c r="A242" s="2">
        <v>239</v>
      </c>
      <c r="B242" s="92"/>
      <c r="C242" s="92"/>
      <c r="D242" s="92"/>
      <c r="E242" s="85"/>
      <c r="F242" s="92"/>
      <c r="G242" s="85" t="str">
        <f t="shared" si="12"/>
        <v/>
      </c>
      <c r="H242" s="92">
        <f t="shared" si="11"/>
        <v>0</v>
      </c>
      <c r="I242" s="92"/>
      <c r="J242" s="92"/>
      <c r="K242" s="92"/>
      <c r="L242" s="48"/>
    </row>
    <row r="243" spans="1:12" x14ac:dyDescent="0.35">
      <c r="A243" s="2">
        <v>240</v>
      </c>
      <c r="B243" s="92"/>
      <c r="C243" s="92"/>
      <c r="D243" s="92"/>
      <c r="E243" s="85"/>
      <c r="F243" s="92"/>
      <c r="G243" s="85" t="str">
        <f t="shared" si="12"/>
        <v/>
      </c>
      <c r="H243" s="92">
        <f t="shared" si="11"/>
        <v>0</v>
      </c>
      <c r="I243" s="92"/>
      <c r="J243" s="92"/>
      <c r="K243" s="92"/>
      <c r="L243" s="48"/>
    </row>
    <row r="244" spans="1:12" x14ac:dyDescent="0.35">
      <c r="A244" s="2">
        <v>241</v>
      </c>
      <c r="B244" s="92"/>
      <c r="C244" s="92"/>
      <c r="D244" s="92"/>
      <c r="E244" s="85"/>
      <c r="F244" s="92"/>
      <c r="G244" s="85" t="str">
        <f t="shared" si="12"/>
        <v/>
      </c>
      <c r="H244" s="92">
        <f t="shared" si="11"/>
        <v>0</v>
      </c>
      <c r="I244" s="92"/>
      <c r="J244" s="92"/>
      <c r="K244" s="92"/>
      <c r="L244" s="48"/>
    </row>
    <row r="245" spans="1:12" x14ac:dyDescent="0.35">
      <c r="A245" s="2">
        <v>242</v>
      </c>
      <c r="B245" s="92"/>
      <c r="C245" s="92"/>
      <c r="D245" s="92"/>
      <c r="E245" s="85"/>
      <c r="F245" s="92"/>
      <c r="G245" s="85" t="str">
        <f t="shared" si="12"/>
        <v/>
      </c>
      <c r="H245" s="92">
        <f t="shared" si="11"/>
        <v>0</v>
      </c>
      <c r="I245" s="92"/>
      <c r="J245" s="92"/>
      <c r="K245" s="92"/>
      <c r="L245" s="48"/>
    </row>
    <row r="246" spans="1:12" x14ac:dyDescent="0.35">
      <c r="A246" s="2">
        <v>243</v>
      </c>
      <c r="B246" s="92"/>
      <c r="C246" s="92"/>
      <c r="D246" s="92"/>
      <c r="E246" s="85"/>
      <c r="F246" s="92"/>
      <c r="G246" s="85" t="str">
        <f t="shared" si="12"/>
        <v/>
      </c>
      <c r="H246" s="92">
        <f t="shared" si="11"/>
        <v>0</v>
      </c>
      <c r="I246" s="92"/>
      <c r="J246" s="92"/>
      <c r="K246" s="92"/>
      <c r="L246" s="48"/>
    </row>
    <row r="247" spans="1:12" x14ac:dyDescent="0.35">
      <c r="A247" s="2">
        <v>244</v>
      </c>
      <c r="B247" s="92"/>
      <c r="C247" s="92"/>
      <c r="D247" s="92"/>
      <c r="E247" s="85"/>
      <c r="F247" s="92"/>
      <c r="G247" s="85" t="str">
        <f t="shared" si="12"/>
        <v/>
      </c>
      <c r="H247" s="92">
        <f t="shared" si="11"/>
        <v>0</v>
      </c>
      <c r="I247" s="92"/>
      <c r="J247" s="92"/>
      <c r="K247" s="92"/>
      <c r="L247" s="48"/>
    </row>
    <row r="248" spans="1:12" x14ac:dyDescent="0.35">
      <c r="A248" s="2">
        <v>245</v>
      </c>
      <c r="B248" s="92"/>
      <c r="C248" s="92"/>
      <c r="D248" s="92"/>
      <c r="E248" s="85"/>
      <c r="F248" s="92"/>
      <c r="G248" s="85" t="str">
        <f t="shared" si="12"/>
        <v/>
      </c>
      <c r="H248" s="92">
        <f t="shared" si="11"/>
        <v>0</v>
      </c>
      <c r="I248" s="92"/>
      <c r="J248" s="92"/>
      <c r="K248" s="92"/>
      <c r="L248" s="48"/>
    </row>
    <row r="249" spans="1:12" x14ac:dyDescent="0.35">
      <c r="A249" s="2">
        <v>246</v>
      </c>
      <c r="B249" s="92"/>
      <c r="C249" s="92"/>
      <c r="D249" s="92"/>
      <c r="E249" s="85"/>
      <c r="F249" s="92"/>
      <c r="G249" s="85" t="str">
        <f t="shared" si="12"/>
        <v/>
      </c>
      <c r="H249" s="92">
        <f t="shared" si="11"/>
        <v>0</v>
      </c>
      <c r="I249" s="92"/>
      <c r="J249" s="92"/>
      <c r="K249" s="92"/>
      <c r="L249" s="48"/>
    </row>
    <row r="250" spans="1:12" x14ac:dyDescent="0.35">
      <c r="A250" s="2">
        <v>247</v>
      </c>
      <c r="B250" s="92"/>
      <c r="C250" s="92"/>
      <c r="D250" s="92"/>
      <c r="E250" s="85"/>
      <c r="F250" s="92"/>
      <c r="G250" s="85" t="str">
        <f t="shared" si="12"/>
        <v/>
      </c>
      <c r="H250" s="92">
        <f t="shared" si="11"/>
        <v>0</v>
      </c>
      <c r="I250" s="92"/>
      <c r="J250" s="92"/>
      <c r="K250" s="92"/>
      <c r="L250" s="48"/>
    </row>
    <row r="251" spans="1:12" x14ac:dyDescent="0.35">
      <c r="A251" s="2">
        <v>248</v>
      </c>
      <c r="B251" s="92"/>
      <c r="C251" s="92"/>
      <c r="D251" s="92"/>
      <c r="E251" s="85"/>
      <c r="F251" s="92"/>
      <c r="G251" s="85" t="str">
        <f t="shared" si="12"/>
        <v/>
      </c>
      <c r="H251" s="92">
        <f t="shared" si="11"/>
        <v>0</v>
      </c>
      <c r="I251" s="92"/>
      <c r="J251" s="92"/>
      <c r="K251" s="92"/>
      <c r="L251" s="48"/>
    </row>
    <row r="252" spans="1:12" x14ac:dyDescent="0.35">
      <c r="A252" s="2">
        <v>249</v>
      </c>
      <c r="B252" s="92"/>
      <c r="C252" s="92"/>
      <c r="D252" s="92"/>
      <c r="E252" s="85"/>
      <c r="F252" s="92"/>
      <c r="G252" s="85" t="str">
        <f t="shared" si="12"/>
        <v/>
      </c>
      <c r="H252" s="92">
        <f t="shared" si="11"/>
        <v>0</v>
      </c>
      <c r="I252" s="92"/>
      <c r="J252" s="92"/>
      <c r="K252" s="92"/>
      <c r="L252" s="48"/>
    </row>
    <row r="253" spans="1:12" x14ac:dyDescent="0.35">
      <c r="A253" s="2">
        <v>250</v>
      </c>
      <c r="B253" s="92"/>
      <c r="C253" s="92"/>
      <c r="D253" s="92"/>
      <c r="E253" s="85"/>
      <c r="F253" s="92"/>
      <c r="G253" s="85" t="str">
        <f t="shared" si="12"/>
        <v/>
      </c>
      <c r="H253" s="92">
        <f t="shared" si="11"/>
        <v>0</v>
      </c>
      <c r="I253" s="92"/>
      <c r="J253" s="92"/>
      <c r="K253" s="92"/>
      <c r="L253" s="48"/>
    </row>
    <row r="254" spans="1:12" x14ac:dyDescent="0.35">
      <c r="A254" s="2">
        <v>251</v>
      </c>
      <c r="B254" s="92"/>
      <c r="C254" s="92"/>
      <c r="D254" s="92"/>
      <c r="E254" s="85"/>
      <c r="F254" s="92"/>
      <c r="G254" s="85" t="str">
        <f t="shared" si="12"/>
        <v/>
      </c>
      <c r="H254" s="92">
        <f t="shared" si="11"/>
        <v>0</v>
      </c>
      <c r="I254" s="92"/>
      <c r="J254" s="92"/>
      <c r="K254" s="92"/>
      <c r="L254" s="48"/>
    </row>
    <row r="255" spans="1:12" x14ac:dyDescent="0.35">
      <c r="A255" s="2">
        <v>252</v>
      </c>
      <c r="B255" s="92"/>
      <c r="C255" s="92"/>
      <c r="D255" s="92"/>
      <c r="E255" s="85"/>
      <c r="F255" s="92"/>
      <c r="G255" s="85" t="str">
        <f t="shared" si="12"/>
        <v/>
      </c>
      <c r="H255" s="92">
        <f t="shared" si="11"/>
        <v>0</v>
      </c>
      <c r="I255" s="92"/>
      <c r="J255" s="92"/>
      <c r="K255" s="92"/>
      <c r="L255" s="48"/>
    </row>
    <row r="256" spans="1:12" x14ac:dyDescent="0.35">
      <c r="A256" s="2">
        <v>253</v>
      </c>
      <c r="B256" s="92"/>
      <c r="C256" s="92"/>
      <c r="D256" s="92"/>
      <c r="E256" s="85"/>
      <c r="F256" s="92"/>
      <c r="G256" s="85" t="str">
        <f t="shared" si="12"/>
        <v/>
      </c>
      <c r="H256" s="92">
        <f t="shared" si="11"/>
        <v>0</v>
      </c>
      <c r="I256" s="92"/>
      <c r="J256" s="92"/>
      <c r="K256" s="92"/>
      <c r="L256" s="48"/>
    </row>
    <row r="257" spans="1:12" x14ac:dyDescent="0.35">
      <c r="A257" s="2">
        <v>254</v>
      </c>
      <c r="B257" s="92"/>
      <c r="C257" s="92"/>
      <c r="D257" s="92"/>
      <c r="E257" s="85"/>
      <c r="F257" s="92"/>
      <c r="G257" s="85" t="str">
        <f t="shared" si="12"/>
        <v/>
      </c>
      <c r="H257" s="92">
        <f t="shared" si="11"/>
        <v>0</v>
      </c>
      <c r="I257" s="92"/>
      <c r="J257" s="92"/>
      <c r="K257" s="92"/>
      <c r="L257" s="48"/>
    </row>
    <row r="258" spans="1:12" x14ac:dyDescent="0.35">
      <c r="A258" s="2">
        <v>255</v>
      </c>
      <c r="B258" s="92"/>
      <c r="C258" s="92"/>
      <c r="D258" s="92"/>
      <c r="E258" s="85"/>
      <c r="F258" s="92"/>
      <c r="G258" s="85" t="str">
        <f t="shared" si="12"/>
        <v/>
      </c>
      <c r="H258" s="92">
        <f t="shared" si="11"/>
        <v>0</v>
      </c>
      <c r="I258" s="92"/>
      <c r="J258" s="92"/>
      <c r="K258" s="92"/>
      <c r="L258" s="48"/>
    </row>
    <row r="259" spans="1:12" x14ac:dyDescent="0.35">
      <c r="A259" s="2">
        <v>256</v>
      </c>
      <c r="B259" s="92"/>
      <c r="C259" s="92"/>
      <c r="D259" s="92"/>
      <c r="E259" s="85"/>
      <c r="F259" s="92"/>
      <c r="G259" s="85" t="str">
        <f t="shared" si="12"/>
        <v/>
      </c>
      <c r="H259" s="92">
        <f t="shared" si="11"/>
        <v>0</v>
      </c>
      <c r="I259" s="92"/>
      <c r="J259" s="92"/>
      <c r="K259" s="92"/>
      <c r="L259" s="48"/>
    </row>
    <row r="260" spans="1:12" x14ac:dyDescent="0.35">
      <c r="A260" s="2">
        <v>257</v>
      </c>
      <c r="B260" s="92"/>
      <c r="C260" s="92"/>
      <c r="D260" s="92"/>
      <c r="E260" s="85"/>
      <c r="F260" s="92"/>
      <c r="G260" s="85" t="str">
        <f t="shared" si="12"/>
        <v/>
      </c>
      <c r="H260" s="92">
        <f t="shared" si="11"/>
        <v>0</v>
      </c>
      <c r="I260" s="92"/>
      <c r="J260" s="92"/>
      <c r="K260" s="92"/>
      <c r="L260" s="48"/>
    </row>
    <row r="261" spans="1:12" x14ac:dyDescent="0.35">
      <c r="A261" s="2">
        <v>258</v>
      </c>
      <c r="B261" s="92"/>
      <c r="C261" s="92"/>
      <c r="D261" s="92"/>
      <c r="E261" s="85"/>
      <c r="F261" s="92"/>
      <c r="G261" s="85" t="str">
        <f t="shared" si="12"/>
        <v/>
      </c>
      <c r="H261" s="92">
        <f t="shared" si="11"/>
        <v>0</v>
      </c>
      <c r="I261" s="92"/>
      <c r="J261" s="92"/>
      <c r="K261" s="92"/>
      <c r="L261" s="48"/>
    </row>
    <row r="262" spans="1:12" x14ac:dyDescent="0.35">
      <c r="A262" s="2">
        <v>259</v>
      </c>
      <c r="B262" s="92"/>
      <c r="C262" s="92"/>
      <c r="D262" s="92"/>
      <c r="E262" s="85"/>
      <c r="F262" s="92"/>
      <c r="G262" s="85" t="str">
        <f t="shared" si="12"/>
        <v/>
      </c>
      <c r="H262" s="92">
        <f t="shared" si="11"/>
        <v>0</v>
      </c>
      <c r="I262" s="92"/>
      <c r="J262" s="92"/>
      <c r="K262" s="92"/>
      <c r="L262" s="48"/>
    </row>
    <row r="263" spans="1:12" x14ac:dyDescent="0.35">
      <c r="A263" s="2">
        <v>260</v>
      </c>
      <c r="B263" s="92"/>
      <c r="C263" s="92"/>
      <c r="D263" s="92"/>
      <c r="E263" s="85"/>
      <c r="F263" s="92"/>
      <c r="G263" s="85" t="str">
        <f t="shared" si="12"/>
        <v/>
      </c>
      <c r="H263" s="92">
        <f t="shared" si="11"/>
        <v>0</v>
      </c>
      <c r="I263" s="92"/>
      <c r="J263" s="92"/>
      <c r="K263" s="92"/>
      <c r="L263" s="48"/>
    </row>
    <row r="264" spans="1:12" x14ac:dyDescent="0.35">
      <c r="A264" s="2">
        <v>261</v>
      </c>
      <c r="B264" s="92"/>
      <c r="C264" s="92"/>
      <c r="D264" s="92"/>
      <c r="E264" s="85"/>
      <c r="F264" s="92"/>
      <c r="G264" s="85" t="str">
        <f t="shared" si="12"/>
        <v/>
      </c>
      <c r="H264" s="92">
        <f t="shared" si="11"/>
        <v>0</v>
      </c>
      <c r="I264" s="92"/>
      <c r="J264" s="92"/>
      <c r="K264" s="92"/>
      <c r="L264" s="48"/>
    </row>
    <row r="265" spans="1:12" x14ac:dyDescent="0.35">
      <c r="A265" s="2">
        <v>262</v>
      </c>
      <c r="B265" s="92"/>
      <c r="C265" s="92"/>
      <c r="D265" s="92"/>
      <c r="E265" s="85"/>
      <c r="F265" s="92"/>
      <c r="G265" s="85" t="str">
        <f t="shared" si="12"/>
        <v/>
      </c>
      <c r="H265" s="92">
        <f t="shared" ref="H265:H328" si="13">I265/8</f>
        <v>0</v>
      </c>
      <c r="I265" s="92"/>
      <c r="J265" s="92"/>
      <c r="K265" s="92"/>
      <c r="L265" s="48"/>
    </row>
    <row r="266" spans="1:12" x14ac:dyDescent="0.35">
      <c r="A266" s="2">
        <v>263</v>
      </c>
      <c r="B266" s="92"/>
      <c r="C266" s="92"/>
      <c r="D266" s="92"/>
      <c r="E266" s="85"/>
      <c r="F266" s="92"/>
      <c r="G266" s="85" t="str">
        <f t="shared" si="12"/>
        <v/>
      </c>
      <c r="H266" s="92">
        <f t="shared" si="13"/>
        <v>0</v>
      </c>
      <c r="I266" s="92"/>
      <c r="J266" s="92"/>
      <c r="K266" s="92"/>
      <c r="L266" s="48"/>
    </row>
    <row r="267" spans="1:12" x14ac:dyDescent="0.35">
      <c r="A267" s="2">
        <v>264</v>
      </c>
      <c r="B267" s="92"/>
      <c r="C267" s="92"/>
      <c r="D267" s="92"/>
      <c r="E267" s="85"/>
      <c r="F267" s="92"/>
      <c r="G267" s="85" t="str">
        <f t="shared" si="12"/>
        <v/>
      </c>
      <c r="H267" s="92">
        <f t="shared" si="13"/>
        <v>0</v>
      </c>
      <c r="I267" s="92"/>
      <c r="J267" s="92"/>
      <c r="K267" s="92"/>
      <c r="L267" s="48"/>
    </row>
    <row r="268" spans="1:12" x14ac:dyDescent="0.35">
      <c r="A268" s="2">
        <v>265</v>
      </c>
      <c r="B268" s="92"/>
      <c r="C268" s="92"/>
      <c r="D268" s="92"/>
      <c r="E268" s="85"/>
      <c r="F268" s="92"/>
      <c r="G268" s="85" t="str">
        <f t="shared" si="12"/>
        <v/>
      </c>
      <c r="H268" s="92">
        <f t="shared" si="13"/>
        <v>0</v>
      </c>
      <c r="I268" s="92"/>
      <c r="J268" s="92"/>
      <c r="K268" s="92"/>
      <c r="L268" s="48"/>
    </row>
    <row r="269" spans="1:12" x14ac:dyDescent="0.35">
      <c r="A269" s="2">
        <v>266</v>
      </c>
      <c r="B269" s="92"/>
      <c r="C269" s="92"/>
      <c r="D269" s="92"/>
      <c r="E269" s="85"/>
      <c r="F269" s="92"/>
      <c r="G269" s="85" t="str">
        <f t="shared" si="12"/>
        <v/>
      </c>
      <c r="H269" s="92">
        <f t="shared" si="13"/>
        <v>0</v>
      </c>
      <c r="I269" s="92"/>
      <c r="J269" s="92"/>
      <c r="K269" s="92"/>
      <c r="L269" s="48"/>
    </row>
    <row r="270" spans="1:12" x14ac:dyDescent="0.35">
      <c r="A270" s="2">
        <v>267</v>
      </c>
      <c r="B270" s="92"/>
      <c r="C270" s="92"/>
      <c r="D270" s="92"/>
      <c r="E270" s="85"/>
      <c r="F270" s="92"/>
      <c r="G270" s="85" t="str">
        <f t="shared" si="12"/>
        <v/>
      </c>
      <c r="H270" s="92">
        <f t="shared" si="13"/>
        <v>0</v>
      </c>
      <c r="I270" s="92"/>
      <c r="J270" s="92"/>
      <c r="K270" s="92"/>
      <c r="L270" s="48"/>
    </row>
    <row r="271" spans="1:12" x14ac:dyDescent="0.35">
      <c r="A271" s="2">
        <v>268</v>
      </c>
      <c r="B271" s="92"/>
      <c r="C271" s="92"/>
      <c r="D271" s="92"/>
      <c r="E271" s="85"/>
      <c r="F271" s="92"/>
      <c r="G271" s="85" t="str">
        <f t="shared" si="12"/>
        <v/>
      </c>
      <c r="H271" s="92">
        <f t="shared" si="13"/>
        <v>0</v>
      </c>
      <c r="I271" s="92"/>
      <c r="J271" s="92"/>
      <c r="K271" s="92"/>
      <c r="L271" s="48"/>
    </row>
    <row r="272" spans="1:12" x14ac:dyDescent="0.35">
      <c r="A272" s="2">
        <v>269</v>
      </c>
      <c r="B272" s="92"/>
      <c r="C272" s="92"/>
      <c r="D272" s="92"/>
      <c r="E272" s="85"/>
      <c r="F272" s="92"/>
      <c r="G272" s="85" t="str">
        <f t="shared" si="12"/>
        <v/>
      </c>
      <c r="H272" s="92">
        <f t="shared" si="13"/>
        <v>0</v>
      </c>
      <c r="I272" s="92"/>
      <c r="J272" s="92"/>
      <c r="K272" s="92"/>
      <c r="L272" s="48"/>
    </row>
    <row r="273" spans="1:12" x14ac:dyDescent="0.35">
      <c r="A273" s="2">
        <v>270</v>
      </c>
      <c r="B273" s="92"/>
      <c r="C273" s="92"/>
      <c r="D273" s="92"/>
      <c r="E273" s="85"/>
      <c r="F273" s="92"/>
      <c r="G273" s="85" t="str">
        <f t="shared" si="12"/>
        <v/>
      </c>
      <c r="H273" s="92">
        <f t="shared" si="13"/>
        <v>0</v>
      </c>
      <c r="I273" s="92"/>
      <c r="J273" s="92"/>
      <c r="K273" s="92"/>
      <c r="L273" s="48"/>
    </row>
    <row r="274" spans="1:12" x14ac:dyDescent="0.35">
      <c r="A274" s="2">
        <v>271</v>
      </c>
      <c r="B274" s="92"/>
      <c r="C274" s="92"/>
      <c r="D274" s="92"/>
      <c r="E274" s="85"/>
      <c r="F274" s="92"/>
      <c r="G274" s="85" t="str">
        <f t="shared" si="12"/>
        <v/>
      </c>
      <c r="H274" s="92">
        <f t="shared" si="13"/>
        <v>0</v>
      </c>
      <c r="I274" s="92"/>
      <c r="J274" s="92"/>
      <c r="K274" s="92"/>
      <c r="L274" s="48"/>
    </row>
    <row r="275" spans="1:12" x14ac:dyDescent="0.35">
      <c r="A275" s="2">
        <v>272</v>
      </c>
      <c r="B275" s="92"/>
      <c r="C275" s="92"/>
      <c r="D275" s="92"/>
      <c r="E275" s="85"/>
      <c r="F275" s="92"/>
      <c r="G275" s="85" t="str">
        <f t="shared" si="12"/>
        <v/>
      </c>
      <c r="H275" s="92">
        <f t="shared" si="13"/>
        <v>0</v>
      </c>
      <c r="I275" s="92"/>
      <c r="J275" s="92"/>
      <c r="K275" s="92"/>
      <c r="L275" s="48"/>
    </row>
    <row r="276" spans="1:12" x14ac:dyDescent="0.35">
      <c r="A276" s="2">
        <v>273</v>
      </c>
      <c r="B276" s="92"/>
      <c r="C276" s="92"/>
      <c r="D276" s="92"/>
      <c r="E276" s="85"/>
      <c r="F276" s="92"/>
      <c r="G276" s="85" t="str">
        <f t="shared" si="12"/>
        <v/>
      </c>
      <c r="H276" s="92">
        <f t="shared" si="13"/>
        <v>0</v>
      </c>
      <c r="I276" s="92"/>
      <c r="J276" s="92"/>
      <c r="K276" s="92"/>
      <c r="L276" s="48"/>
    </row>
    <row r="277" spans="1:12" x14ac:dyDescent="0.35">
      <c r="A277" s="2">
        <v>274</v>
      </c>
      <c r="B277" s="92"/>
      <c r="C277" s="92"/>
      <c r="D277" s="92"/>
      <c r="E277" s="85"/>
      <c r="F277" s="92"/>
      <c r="G277" s="85" t="str">
        <f t="shared" si="12"/>
        <v/>
      </c>
      <c r="H277" s="92">
        <f t="shared" si="13"/>
        <v>0</v>
      </c>
      <c r="I277" s="92"/>
      <c r="J277" s="92"/>
      <c r="K277" s="92"/>
      <c r="L277" s="48"/>
    </row>
    <row r="278" spans="1:12" x14ac:dyDescent="0.35">
      <c r="A278" s="2">
        <v>275</v>
      </c>
      <c r="B278" s="92"/>
      <c r="C278" s="92"/>
      <c r="D278" s="92"/>
      <c r="E278" s="85"/>
      <c r="F278" s="92"/>
      <c r="G278" s="85" t="str">
        <f t="shared" si="12"/>
        <v/>
      </c>
      <c r="H278" s="92">
        <f t="shared" si="13"/>
        <v>0</v>
      </c>
      <c r="I278" s="92"/>
      <c r="J278" s="92"/>
      <c r="K278" s="92"/>
      <c r="L278" s="48"/>
    </row>
    <row r="279" spans="1:12" x14ac:dyDescent="0.35">
      <c r="A279" s="2">
        <v>276</v>
      </c>
      <c r="B279" s="92"/>
      <c r="C279" s="92"/>
      <c r="D279" s="92"/>
      <c r="E279" s="85"/>
      <c r="F279" s="92"/>
      <c r="G279" s="85" t="str">
        <f t="shared" si="12"/>
        <v/>
      </c>
      <c r="H279" s="92">
        <f t="shared" si="13"/>
        <v>0</v>
      </c>
      <c r="I279" s="92"/>
      <c r="J279" s="92"/>
      <c r="K279" s="92"/>
      <c r="L279" s="48"/>
    </row>
    <row r="280" spans="1:12" x14ac:dyDescent="0.35">
      <c r="A280" s="2">
        <v>277</v>
      </c>
      <c r="B280" s="92"/>
      <c r="C280" s="92"/>
      <c r="D280" s="92"/>
      <c r="E280" s="85"/>
      <c r="F280" s="92"/>
      <c r="G280" s="85" t="str">
        <f t="shared" si="12"/>
        <v/>
      </c>
      <c r="H280" s="92">
        <f t="shared" si="13"/>
        <v>0</v>
      </c>
      <c r="I280" s="92"/>
      <c r="J280" s="92"/>
      <c r="K280" s="92"/>
      <c r="L280" s="48"/>
    </row>
    <row r="281" spans="1:12" x14ac:dyDescent="0.35">
      <c r="A281" s="2">
        <v>278</v>
      </c>
      <c r="B281" s="92"/>
      <c r="C281" s="92"/>
      <c r="D281" s="92"/>
      <c r="E281" s="85"/>
      <c r="F281" s="92"/>
      <c r="G281" s="85" t="str">
        <f t="shared" si="12"/>
        <v/>
      </c>
      <c r="H281" s="92">
        <f t="shared" si="13"/>
        <v>0</v>
      </c>
      <c r="I281" s="92"/>
      <c r="J281" s="92"/>
      <c r="K281" s="92"/>
      <c r="L281" s="48"/>
    </row>
    <row r="282" spans="1:12" x14ac:dyDescent="0.35">
      <c r="A282" s="2">
        <v>279</v>
      </c>
      <c r="B282" s="92"/>
      <c r="C282" s="92"/>
      <c r="D282" s="92"/>
      <c r="E282" s="85"/>
      <c r="F282" s="92"/>
      <c r="G282" s="85" t="str">
        <f t="shared" si="12"/>
        <v/>
      </c>
      <c r="H282" s="92">
        <f t="shared" si="13"/>
        <v>0</v>
      </c>
      <c r="I282" s="92"/>
      <c r="J282" s="92"/>
      <c r="K282" s="92"/>
      <c r="L282" s="48"/>
    </row>
    <row r="283" spans="1:12" x14ac:dyDescent="0.35">
      <c r="A283" s="2">
        <v>280</v>
      </c>
      <c r="B283" s="92"/>
      <c r="C283" s="92"/>
      <c r="D283" s="92"/>
      <c r="E283" s="85"/>
      <c r="F283" s="92"/>
      <c r="G283" s="85" t="str">
        <f t="shared" si="12"/>
        <v/>
      </c>
      <c r="H283" s="92">
        <f t="shared" si="13"/>
        <v>0</v>
      </c>
      <c r="I283" s="92"/>
      <c r="J283" s="92"/>
      <c r="K283" s="92"/>
      <c r="L283" s="48"/>
    </row>
    <row r="284" spans="1:12" x14ac:dyDescent="0.35">
      <c r="A284" s="2">
        <v>281</v>
      </c>
      <c r="B284" s="92"/>
      <c r="C284" s="92"/>
      <c r="D284" s="92"/>
      <c r="E284" s="85"/>
      <c r="F284" s="92"/>
      <c r="G284" s="85" t="str">
        <f t="shared" si="12"/>
        <v/>
      </c>
      <c r="H284" s="92">
        <f t="shared" si="13"/>
        <v>0</v>
      </c>
      <c r="I284" s="92"/>
      <c r="J284" s="92"/>
      <c r="K284" s="92"/>
      <c r="L284" s="48"/>
    </row>
    <row r="285" spans="1:12" x14ac:dyDescent="0.35">
      <c r="A285" s="2">
        <v>282</v>
      </c>
      <c r="B285" s="92"/>
      <c r="C285" s="92"/>
      <c r="D285" s="92"/>
      <c r="E285" s="85"/>
      <c r="F285" s="92"/>
      <c r="G285" s="85" t="str">
        <f t="shared" si="12"/>
        <v/>
      </c>
      <c r="H285" s="92">
        <f t="shared" si="13"/>
        <v>0</v>
      </c>
      <c r="I285" s="92"/>
      <c r="J285" s="92"/>
      <c r="K285" s="92"/>
      <c r="L285" s="48"/>
    </row>
    <row r="286" spans="1:12" x14ac:dyDescent="0.35">
      <c r="A286" s="2">
        <v>283</v>
      </c>
      <c r="B286" s="92"/>
      <c r="C286" s="92"/>
      <c r="D286" s="92"/>
      <c r="E286" s="85"/>
      <c r="F286" s="92"/>
      <c r="G286" s="85" t="str">
        <f t="shared" si="12"/>
        <v/>
      </c>
      <c r="H286" s="92">
        <f t="shared" si="13"/>
        <v>0</v>
      </c>
      <c r="I286" s="92"/>
      <c r="J286" s="92"/>
      <c r="K286" s="92"/>
      <c r="L286" s="48"/>
    </row>
    <row r="287" spans="1:12" x14ac:dyDescent="0.35">
      <c r="A287" s="2">
        <v>284</v>
      </c>
      <c r="B287" s="92"/>
      <c r="C287" s="92"/>
      <c r="D287" s="92"/>
      <c r="E287" s="85"/>
      <c r="F287" s="92"/>
      <c r="G287" s="85" t="str">
        <f t="shared" si="12"/>
        <v/>
      </c>
      <c r="H287" s="92">
        <f t="shared" si="13"/>
        <v>0</v>
      </c>
      <c r="I287" s="92"/>
      <c r="J287" s="92"/>
      <c r="K287" s="92"/>
      <c r="L287" s="48"/>
    </row>
    <row r="288" spans="1:12" x14ac:dyDescent="0.35">
      <c r="A288" s="2">
        <v>285</v>
      </c>
      <c r="B288" s="92"/>
      <c r="C288" s="92"/>
      <c r="D288" s="92"/>
      <c r="E288" s="85"/>
      <c r="F288" s="92"/>
      <c r="G288" s="85" t="str">
        <f t="shared" si="12"/>
        <v/>
      </c>
      <c r="H288" s="92">
        <f t="shared" si="13"/>
        <v>0</v>
      </c>
      <c r="I288" s="92"/>
      <c r="J288" s="92"/>
      <c r="K288" s="92"/>
      <c r="L288" s="48"/>
    </row>
    <row r="289" spans="1:12" x14ac:dyDescent="0.35">
      <c r="A289" s="2">
        <v>286</v>
      </c>
      <c r="B289" s="92"/>
      <c r="C289" s="92"/>
      <c r="D289" s="92"/>
      <c r="E289" s="85"/>
      <c r="F289" s="92"/>
      <c r="G289" s="85" t="str">
        <f t="shared" si="12"/>
        <v/>
      </c>
      <c r="H289" s="92">
        <f t="shared" si="13"/>
        <v>0</v>
      </c>
      <c r="I289" s="92"/>
      <c r="J289" s="92"/>
      <c r="K289" s="92"/>
      <c r="L289" s="48"/>
    </row>
    <row r="290" spans="1:12" x14ac:dyDescent="0.35">
      <c r="A290" s="2">
        <v>287</v>
      </c>
      <c r="B290" s="92"/>
      <c r="C290" s="92"/>
      <c r="D290" s="92"/>
      <c r="E290" s="85"/>
      <c r="F290" s="92"/>
      <c r="G290" s="85" t="str">
        <f t="shared" si="12"/>
        <v/>
      </c>
      <c r="H290" s="92">
        <f t="shared" si="13"/>
        <v>0</v>
      </c>
      <c r="I290" s="92"/>
      <c r="J290" s="92"/>
      <c r="K290" s="92"/>
      <c r="L290" s="48"/>
    </row>
    <row r="291" spans="1:12" x14ac:dyDescent="0.35">
      <c r="A291" s="2">
        <v>288</v>
      </c>
      <c r="B291" s="92"/>
      <c r="C291" s="92"/>
      <c r="D291" s="92"/>
      <c r="E291" s="85"/>
      <c r="F291" s="92"/>
      <c r="G291" s="85" t="str">
        <f t="shared" si="12"/>
        <v/>
      </c>
      <c r="H291" s="92">
        <f t="shared" si="13"/>
        <v>0</v>
      </c>
      <c r="I291" s="92"/>
      <c r="J291" s="92"/>
      <c r="K291" s="92"/>
      <c r="L291" s="48"/>
    </row>
    <row r="292" spans="1:12" x14ac:dyDescent="0.35">
      <c r="A292" s="2">
        <v>289</v>
      </c>
      <c r="B292" s="92"/>
      <c r="C292" s="92"/>
      <c r="D292" s="92"/>
      <c r="E292" s="85"/>
      <c r="F292" s="92"/>
      <c r="G292" s="85" t="str">
        <f t="shared" si="12"/>
        <v/>
      </c>
      <c r="H292" s="92">
        <f t="shared" si="13"/>
        <v>0</v>
      </c>
      <c r="I292" s="92"/>
      <c r="J292" s="92"/>
      <c r="K292" s="92"/>
      <c r="L292" s="48"/>
    </row>
    <row r="293" spans="1:12" x14ac:dyDescent="0.35">
      <c r="A293" s="2">
        <v>290</v>
      </c>
      <c r="B293" s="92"/>
      <c r="C293" s="92"/>
      <c r="D293" s="92"/>
      <c r="E293" s="85"/>
      <c r="F293" s="92"/>
      <c r="G293" s="85" t="str">
        <f t="shared" si="12"/>
        <v/>
      </c>
      <c r="H293" s="92">
        <f t="shared" si="13"/>
        <v>0</v>
      </c>
      <c r="I293" s="92"/>
      <c r="J293" s="92"/>
      <c r="K293" s="92"/>
      <c r="L293" s="48"/>
    </row>
    <row r="294" spans="1:12" x14ac:dyDescent="0.35">
      <c r="A294" s="2">
        <v>291</v>
      </c>
      <c r="B294" s="92"/>
      <c r="C294" s="92"/>
      <c r="D294" s="92"/>
      <c r="E294" s="85"/>
      <c r="F294" s="92"/>
      <c r="G294" s="85" t="str">
        <f t="shared" si="12"/>
        <v/>
      </c>
      <c r="H294" s="92">
        <f t="shared" si="13"/>
        <v>0</v>
      </c>
      <c r="I294" s="92"/>
      <c r="J294" s="92"/>
      <c r="K294" s="92"/>
      <c r="L294" s="48"/>
    </row>
    <row r="295" spans="1:12" x14ac:dyDescent="0.35">
      <c r="A295" s="2">
        <v>292</v>
      </c>
      <c r="B295" s="92"/>
      <c r="C295" s="92"/>
      <c r="D295" s="92"/>
      <c r="E295" s="85"/>
      <c r="F295" s="92"/>
      <c r="G295" s="85" t="str">
        <f t="shared" si="12"/>
        <v/>
      </c>
      <c r="H295" s="92">
        <f t="shared" si="13"/>
        <v>0</v>
      </c>
      <c r="I295" s="92"/>
      <c r="J295" s="92"/>
      <c r="K295" s="92"/>
      <c r="L295" s="48"/>
    </row>
    <row r="296" spans="1:12" x14ac:dyDescent="0.35">
      <c r="A296" s="2">
        <v>293</v>
      </c>
      <c r="B296" s="92"/>
      <c r="C296" s="92"/>
      <c r="D296" s="92"/>
      <c r="E296" s="85"/>
      <c r="F296" s="92"/>
      <c r="G296" s="85" t="str">
        <f t="shared" si="12"/>
        <v/>
      </c>
      <c r="H296" s="92">
        <f t="shared" si="13"/>
        <v>0</v>
      </c>
      <c r="I296" s="92"/>
      <c r="J296" s="92"/>
      <c r="K296" s="92"/>
      <c r="L296" s="48"/>
    </row>
    <row r="297" spans="1:12" x14ac:dyDescent="0.35">
      <c r="A297" s="2">
        <v>294</v>
      </c>
      <c r="B297" s="92"/>
      <c r="C297" s="92"/>
      <c r="D297" s="92"/>
      <c r="E297" s="85"/>
      <c r="F297" s="92"/>
      <c r="G297" s="85" t="str">
        <f t="shared" si="12"/>
        <v/>
      </c>
      <c r="H297" s="92">
        <f t="shared" si="13"/>
        <v>0</v>
      </c>
      <c r="I297" s="92"/>
      <c r="J297" s="92"/>
      <c r="K297" s="92"/>
      <c r="L297" s="48"/>
    </row>
    <row r="298" spans="1:12" x14ac:dyDescent="0.35">
      <c r="A298" s="2">
        <v>295</v>
      </c>
      <c r="B298" s="92"/>
      <c r="C298" s="92"/>
      <c r="D298" s="92"/>
      <c r="E298" s="85"/>
      <c r="F298" s="92"/>
      <c r="G298" s="85" t="str">
        <f t="shared" ref="G298:G339" si="14">CONCATENATE(B298,C298,D298,E298,F298)</f>
        <v/>
      </c>
      <c r="H298" s="92">
        <f t="shared" si="13"/>
        <v>0</v>
      </c>
      <c r="I298" s="92"/>
      <c r="J298" s="92"/>
      <c r="K298" s="92"/>
      <c r="L298" s="48"/>
    </row>
    <row r="299" spans="1:12" x14ac:dyDescent="0.35">
      <c r="A299" s="2">
        <v>296</v>
      </c>
      <c r="B299" s="92"/>
      <c r="C299" s="92"/>
      <c r="D299" s="92"/>
      <c r="E299" s="85"/>
      <c r="F299" s="92"/>
      <c r="G299" s="85" t="str">
        <f t="shared" si="14"/>
        <v/>
      </c>
      <c r="H299" s="92">
        <f t="shared" si="13"/>
        <v>0</v>
      </c>
      <c r="I299" s="92"/>
      <c r="J299" s="92"/>
      <c r="K299" s="92"/>
      <c r="L299" s="48"/>
    </row>
    <row r="300" spans="1:12" x14ac:dyDescent="0.35">
      <c r="A300" s="2">
        <v>297</v>
      </c>
      <c r="B300" s="92"/>
      <c r="C300" s="92"/>
      <c r="D300" s="92"/>
      <c r="E300" s="85"/>
      <c r="F300" s="92"/>
      <c r="G300" s="85" t="str">
        <f t="shared" si="14"/>
        <v/>
      </c>
      <c r="H300" s="92">
        <f t="shared" si="13"/>
        <v>0</v>
      </c>
      <c r="I300" s="92"/>
      <c r="J300" s="92"/>
      <c r="K300" s="92"/>
      <c r="L300" s="48"/>
    </row>
    <row r="301" spans="1:12" x14ac:dyDescent="0.35">
      <c r="A301" s="2">
        <v>298</v>
      </c>
      <c r="B301" s="92"/>
      <c r="C301" s="92"/>
      <c r="D301" s="92"/>
      <c r="E301" s="85"/>
      <c r="F301" s="92"/>
      <c r="G301" s="85" t="str">
        <f t="shared" si="14"/>
        <v/>
      </c>
      <c r="H301" s="92">
        <f t="shared" si="13"/>
        <v>0</v>
      </c>
      <c r="I301" s="92"/>
      <c r="J301" s="92"/>
      <c r="K301" s="92"/>
      <c r="L301" s="48"/>
    </row>
    <row r="302" spans="1:12" x14ac:dyDescent="0.35">
      <c r="A302" s="2">
        <v>299</v>
      </c>
      <c r="B302" s="92"/>
      <c r="C302" s="92"/>
      <c r="D302" s="92"/>
      <c r="E302" s="85"/>
      <c r="F302" s="92"/>
      <c r="G302" s="85" t="str">
        <f t="shared" si="14"/>
        <v/>
      </c>
      <c r="H302" s="92">
        <f t="shared" si="13"/>
        <v>0</v>
      </c>
      <c r="I302" s="92"/>
      <c r="J302" s="92"/>
      <c r="K302" s="92"/>
      <c r="L302" s="48"/>
    </row>
    <row r="303" spans="1:12" x14ac:dyDescent="0.35">
      <c r="A303" s="2">
        <v>300</v>
      </c>
      <c r="B303" s="92"/>
      <c r="C303" s="92"/>
      <c r="D303" s="92"/>
      <c r="E303" s="85"/>
      <c r="F303" s="92"/>
      <c r="G303" s="85" t="str">
        <f t="shared" si="14"/>
        <v/>
      </c>
      <c r="H303" s="92">
        <f t="shared" si="13"/>
        <v>0</v>
      </c>
      <c r="I303" s="92"/>
      <c r="J303" s="92"/>
      <c r="K303" s="92"/>
      <c r="L303" s="48"/>
    </row>
    <row r="304" spans="1:12" x14ac:dyDescent="0.35">
      <c r="A304" s="2">
        <v>301</v>
      </c>
      <c r="B304" s="92"/>
      <c r="C304" s="92"/>
      <c r="D304" s="92"/>
      <c r="E304" s="85"/>
      <c r="F304" s="92"/>
      <c r="G304" s="85" t="str">
        <f t="shared" si="14"/>
        <v/>
      </c>
      <c r="H304" s="92">
        <f t="shared" si="13"/>
        <v>0</v>
      </c>
      <c r="I304" s="92"/>
      <c r="J304" s="92"/>
      <c r="K304" s="92"/>
      <c r="L304" s="48"/>
    </row>
    <row r="305" spans="1:12" x14ac:dyDescent="0.35">
      <c r="A305" s="2">
        <v>302</v>
      </c>
      <c r="B305" s="92"/>
      <c r="C305" s="92"/>
      <c r="D305" s="92"/>
      <c r="E305" s="85"/>
      <c r="F305" s="92"/>
      <c r="G305" s="85" t="str">
        <f t="shared" si="14"/>
        <v/>
      </c>
      <c r="H305" s="92">
        <f t="shared" si="13"/>
        <v>0</v>
      </c>
      <c r="I305" s="92"/>
      <c r="J305" s="92"/>
      <c r="K305" s="92"/>
      <c r="L305" s="48"/>
    </row>
    <row r="306" spans="1:12" x14ac:dyDescent="0.35">
      <c r="A306" s="2">
        <v>303</v>
      </c>
      <c r="B306" s="92"/>
      <c r="C306" s="92"/>
      <c r="D306" s="92"/>
      <c r="E306" s="85"/>
      <c r="F306" s="92"/>
      <c r="G306" s="85" t="str">
        <f t="shared" si="14"/>
        <v/>
      </c>
      <c r="H306" s="92">
        <f t="shared" si="13"/>
        <v>0</v>
      </c>
      <c r="I306" s="92"/>
      <c r="J306" s="92"/>
      <c r="K306" s="92"/>
      <c r="L306" s="48"/>
    </row>
    <row r="307" spans="1:12" x14ac:dyDescent="0.35">
      <c r="A307" s="2">
        <v>304</v>
      </c>
      <c r="B307" s="92"/>
      <c r="C307" s="92"/>
      <c r="D307" s="92"/>
      <c r="E307" s="85"/>
      <c r="F307" s="92"/>
      <c r="G307" s="85" t="str">
        <f t="shared" si="14"/>
        <v/>
      </c>
      <c r="H307" s="92">
        <f t="shared" si="13"/>
        <v>0</v>
      </c>
      <c r="I307" s="92"/>
      <c r="J307" s="92"/>
      <c r="K307" s="92"/>
      <c r="L307" s="48"/>
    </row>
    <row r="308" spans="1:12" x14ac:dyDescent="0.35">
      <c r="A308" s="2">
        <v>305</v>
      </c>
      <c r="B308" s="92"/>
      <c r="C308" s="92"/>
      <c r="D308" s="92"/>
      <c r="E308" s="85"/>
      <c r="F308" s="92"/>
      <c r="G308" s="85" t="str">
        <f t="shared" si="14"/>
        <v/>
      </c>
      <c r="H308" s="92">
        <f t="shared" si="13"/>
        <v>0</v>
      </c>
      <c r="I308" s="92"/>
      <c r="J308" s="92"/>
      <c r="K308" s="92"/>
      <c r="L308" s="48"/>
    </row>
    <row r="309" spans="1:12" x14ac:dyDescent="0.35">
      <c r="A309" s="2">
        <v>306</v>
      </c>
      <c r="B309" s="92"/>
      <c r="C309" s="92"/>
      <c r="D309" s="92"/>
      <c r="E309" s="85"/>
      <c r="F309" s="92"/>
      <c r="G309" s="85" t="str">
        <f t="shared" si="14"/>
        <v/>
      </c>
      <c r="H309" s="92">
        <f t="shared" si="13"/>
        <v>0</v>
      </c>
      <c r="I309" s="92"/>
      <c r="J309" s="92"/>
      <c r="K309" s="92"/>
      <c r="L309" s="48"/>
    </row>
    <row r="310" spans="1:12" x14ac:dyDescent="0.35">
      <c r="A310" s="2">
        <v>307</v>
      </c>
      <c r="B310" s="92"/>
      <c r="C310" s="92"/>
      <c r="D310" s="92"/>
      <c r="E310" s="85"/>
      <c r="F310" s="92"/>
      <c r="G310" s="85" t="str">
        <f t="shared" si="14"/>
        <v/>
      </c>
      <c r="H310" s="92">
        <f t="shared" si="13"/>
        <v>0</v>
      </c>
      <c r="I310" s="92"/>
      <c r="J310" s="92"/>
      <c r="K310" s="92"/>
      <c r="L310" s="48"/>
    </row>
    <row r="311" spans="1:12" x14ac:dyDescent="0.35">
      <c r="A311" s="2">
        <v>308</v>
      </c>
      <c r="B311" s="92"/>
      <c r="C311" s="92"/>
      <c r="D311" s="92"/>
      <c r="E311" s="85"/>
      <c r="F311" s="92"/>
      <c r="G311" s="85" t="str">
        <f t="shared" si="14"/>
        <v/>
      </c>
      <c r="H311" s="92">
        <f t="shared" si="13"/>
        <v>0</v>
      </c>
      <c r="I311" s="92"/>
      <c r="J311" s="92"/>
      <c r="K311" s="92"/>
      <c r="L311" s="48"/>
    </row>
    <row r="312" spans="1:12" x14ac:dyDescent="0.35">
      <c r="A312" s="2">
        <v>309</v>
      </c>
      <c r="B312" s="92"/>
      <c r="C312" s="92"/>
      <c r="D312" s="92"/>
      <c r="E312" s="85"/>
      <c r="F312" s="92"/>
      <c r="G312" s="85" t="str">
        <f t="shared" si="14"/>
        <v/>
      </c>
      <c r="H312" s="92">
        <f t="shared" si="13"/>
        <v>0</v>
      </c>
      <c r="I312" s="92"/>
      <c r="J312" s="92"/>
      <c r="K312" s="92"/>
      <c r="L312" s="48"/>
    </row>
    <row r="313" spans="1:12" x14ac:dyDescent="0.35">
      <c r="A313" s="2">
        <v>310</v>
      </c>
      <c r="B313" s="92"/>
      <c r="C313" s="92"/>
      <c r="D313" s="92"/>
      <c r="E313" s="85"/>
      <c r="F313" s="92"/>
      <c r="G313" s="85" t="str">
        <f t="shared" si="14"/>
        <v/>
      </c>
      <c r="H313" s="92">
        <f t="shared" si="13"/>
        <v>0</v>
      </c>
      <c r="I313" s="92"/>
      <c r="J313" s="92"/>
      <c r="K313" s="92"/>
      <c r="L313" s="48"/>
    </row>
    <row r="314" spans="1:12" x14ac:dyDescent="0.35">
      <c r="A314" s="2">
        <v>311</v>
      </c>
      <c r="B314" s="92"/>
      <c r="C314" s="92"/>
      <c r="D314" s="92"/>
      <c r="E314" s="85"/>
      <c r="F314" s="92"/>
      <c r="G314" s="85" t="str">
        <f t="shared" si="14"/>
        <v/>
      </c>
      <c r="H314" s="92">
        <f t="shared" si="13"/>
        <v>0</v>
      </c>
      <c r="I314" s="92"/>
      <c r="J314" s="92"/>
      <c r="K314" s="92"/>
      <c r="L314" s="48"/>
    </row>
    <row r="315" spans="1:12" x14ac:dyDescent="0.35">
      <c r="A315" s="2">
        <v>312</v>
      </c>
      <c r="B315" s="92"/>
      <c r="C315" s="92"/>
      <c r="D315" s="92"/>
      <c r="E315" s="85"/>
      <c r="F315" s="92"/>
      <c r="G315" s="85" t="str">
        <f t="shared" si="14"/>
        <v/>
      </c>
      <c r="H315" s="92">
        <f t="shared" si="13"/>
        <v>0</v>
      </c>
      <c r="I315" s="92"/>
      <c r="J315" s="92"/>
      <c r="K315" s="92"/>
      <c r="L315" s="48"/>
    </row>
    <row r="316" spans="1:12" x14ac:dyDescent="0.35">
      <c r="A316" s="2">
        <v>313</v>
      </c>
      <c r="B316" s="92"/>
      <c r="C316" s="92"/>
      <c r="D316" s="92"/>
      <c r="E316" s="85"/>
      <c r="F316" s="92"/>
      <c r="G316" s="85" t="str">
        <f t="shared" si="14"/>
        <v/>
      </c>
      <c r="H316" s="92">
        <f t="shared" si="13"/>
        <v>0</v>
      </c>
      <c r="I316" s="92"/>
      <c r="J316" s="92"/>
      <c r="K316" s="92"/>
      <c r="L316" s="48"/>
    </row>
    <row r="317" spans="1:12" x14ac:dyDescent="0.35">
      <c r="A317" s="2">
        <v>314</v>
      </c>
      <c r="B317" s="92"/>
      <c r="C317" s="92"/>
      <c r="D317" s="92"/>
      <c r="E317" s="85"/>
      <c r="F317" s="92"/>
      <c r="G317" s="85" t="str">
        <f t="shared" si="14"/>
        <v/>
      </c>
      <c r="H317" s="92">
        <f t="shared" si="13"/>
        <v>0</v>
      </c>
      <c r="I317" s="92"/>
      <c r="J317" s="92"/>
      <c r="K317" s="92"/>
      <c r="L317" s="48"/>
    </row>
    <row r="318" spans="1:12" x14ac:dyDescent="0.35">
      <c r="A318" s="2">
        <v>315</v>
      </c>
      <c r="B318" s="92"/>
      <c r="C318" s="92"/>
      <c r="D318" s="92"/>
      <c r="E318" s="85"/>
      <c r="F318" s="92"/>
      <c r="G318" s="85" t="str">
        <f t="shared" si="14"/>
        <v/>
      </c>
      <c r="H318" s="92">
        <f t="shared" si="13"/>
        <v>0</v>
      </c>
      <c r="I318" s="92"/>
      <c r="J318" s="92"/>
      <c r="K318" s="92"/>
      <c r="L318" s="48"/>
    </row>
    <row r="319" spans="1:12" x14ac:dyDescent="0.35">
      <c r="A319" s="2">
        <v>316</v>
      </c>
      <c r="B319" s="92"/>
      <c r="C319" s="92"/>
      <c r="D319" s="92"/>
      <c r="E319" s="85"/>
      <c r="F319" s="92"/>
      <c r="G319" s="85" t="str">
        <f t="shared" si="14"/>
        <v/>
      </c>
      <c r="H319" s="92">
        <f t="shared" si="13"/>
        <v>0</v>
      </c>
      <c r="I319" s="92"/>
      <c r="J319" s="92"/>
      <c r="K319" s="92"/>
      <c r="L319" s="48"/>
    </row>
    <row r="320" spans="1:12" x14ac:dyDescent="0.35">
      <c r="A320" s="2">
        <v>317</v>
      </c>
      <c r="B320" s="92"/>
      <c r="C320" s="92"/>
      <c r="D320" s="92"/>
      <c r="E320" s="85"/>
      <c r="F320" s="92"/>
      <c r="G320" s="85" t="str">
        <f t="shared" si="14"/>
        <v/>
      </c>
      <c r="H320" s="92">
        <f t="shared" si="13"/>
        <v>0</v>
      </c>
      <c r="I320" s="92"/>
      <c r="J320" s="92"/>
      <c r="K320" s="92"/>
      <c r="L320" s="48"/>
    </row>
    <row r="321" spans="1:12" x14ac:dyDescent="0.35">
      <c r="A321" s="2">
        <v>318</v>
      </c>
      <c r="B321" s="92"/>
      <c r="C321" s="92"/>
      <c r="D321" s="92"/>
      <c r="E321" s="85"/>
      <c r="F321" s="92"/>
      <c r="G321" s="85" t="str">
        <f t="shared" si="14"/>
        <v/>
      </c>
      <c r="H321" s="92">
        <f t="shared" si="13"/>
        <v>0</v>
      </c>
      <c r="I321" s="92"/>
      <c r="J321" s="92"/>
      <c r="K321" s="92"/>
      <c r="L321" s="48"/>
    </row>
    <row r="322" spans="1:12" x14ac:dyDescent="0.35">
      <c r="A322" s="2">
        <v>319</v>
      </c>
      <c r="B322" s="92"/>
      <c r="C322" s="92"/>
      <c r="D322" s="92"/>
      <c r="E322" s="85"/>
      <c r="F322" s="92"/>
      <c r="G322" s="85" t="str">
        <f t="shared" si="14"/>
        <v/>
      </c>
      <c r="H322" s="92">
        <f t="shared" si="13"/>
        <v>0</v>
      </c>
      <c r="I322" s="92"/>
      <c r="J322" s="92"/>
      <c r="K322" s="92"/>
      <c r="L322" s="48"/>
    </row>
    <row r="323" spans="1:12" x14ac:dyDescent="0.35">
      <c r="A323" s="2">
        <v>320</v>
      </c>
      <c r="B323" s="92"/>
      <c r="C323" s="92"/>
      <c r="D323" s="92"/>
      <c r="E323" s="85"/>
      <c r="F323" s="92"/>
      <c r="G323" s="85" t="str">
        <f t="shared" si="14"/>
        <v/>
      </c>
      <c r="H323" s="92">
        <f t="shared" si="13"/>
        <v>0</v>
      </c>
      <c r="I323" s="92"/>
      <c r="J323" s="92"/>
      <c r="K323" s="92"/>
      <c r="L323" s="48"/>
    </row>
    <row r="324" spans="1:12" x14ac:dyDescent="0.35">
      <c r="A324" s="2">
        <v>321</v>
      </c>
      <c r="B324" s="92"/>
      <c r="C324" s="92"/>
      <c r="D324" s="92"/>
      <c r="E324" s="85"/>
      <c r="F324" s="92"/>
      <c r="G324" s="85" t="str">
        <f t="shared" si="14"/>
        <v/>
      </c>
      <c r="H324" s="92">
        <f t="shared" si="13"/>
        <v>0</v>
      </c>
      <c r="I324" s="92"/>
      <c r="J324" s="92"/>
      <c r="K324" s="92"/>
      <c r="L324" s="48"/>
    </row>
    <row r="325" spans="1:12" x14ac:dyDescent="0.35">
      <c r="A325" s="2">
        <v>322</v>
      </c>
      <c r="B325" s="92"/>
      <c r="C325" s="92"/>
      <c r="D325" s="92"/>
      <c r="E325" s="85"/>
      <c r="F325" s="92"/>
      <c r="G325" s="85" t="str">
        <f t="shared" si="14"/>
        <v/>
      </c>
      <c r="H325" s="92">
        <f t="shared" si="13"/>
        <v>0</v>
      </c>
      <c r="I325" s="92"/>
      <c r="J325" s="92"/>
      <c r="K325" s="92"/>
      <c r="L325" s="48"/>
    </row>
    <row r="326" spans="1:12" x14ac:dyDescent="0.35">
      <c r="A326" s="2">
        <v>323</v>
      </c>
      <c r="B326" s="92"/>
      <c r="C326" s="92"/>
      <c r="D326" s="92"/>
      <c r="E326" s="85"/>
      <c r="F326" s="92"/>
      <c r="G326" s="85" t="str">
        <f t="shared" si="14"/>
        <v/>
      </c>
      <c r="H326" s="92">
        <f t="shared" si="13"/>
        <v>0</v>
      </c>
      <c r="I326" s="92"/>
      <c r="J326" s="92"/>
      <c r="K326" s="92"/>
      <c r="L326" s="48"/>
    </row>
    <row r="327" spans="1:12" x14ac:dyDescent="0.35">
      <c r="A327" s="2">
        <v>324</v>
      </c>
      <c r="B327" s="92"/>
      <c r="C327" s="92"/>
      <c r="D327" s="92"/>
      <c r="E327" s="85"/>
      <c r="F327" s="92"/>
      <c r="G327" s="85" t="str">
        <f t="shared" si="14"/>
        <v/>
      </c>
      <c r="H327" s="92">
        <f t="shared" si="13"/>
        <v>0</v>
      </c>
      <c r="I327" s="92"/>
      <c r="J327" s="92"/>
      <c r="K327" s="92"/>
      <c r="L327" s="48"/>
    </row>
    <row r="328" spans="1:12" x14ac:dyDescent="0.35">
      <c r="A328" s="2">
        <v>325</v>
      </c>
      <c r="B328" s="92"/>
      <c r="C328" s="92"/>
      <c r="D328" s="92"/>
      <c r="E328" s="85"/>
      <c r="F328" s="92"/>
      <c r="G328" s="85" t="str">
        <f t="shared" si="14"/>
        <v/>
      </c>
      <c r="H328" s="92">
        <f t="shared" si="13"/>
        <v>0</v>
      </c>
      <c r="I328" s="92"/>
      <c r="J328" s="92"/>
      <c r="K328" s="92"/>
      <c r="L328" s="48"/>
    </row>
    <row r="329" spans="1:12" x14ac:dyDescent="0.35">
      <c r="A329" s="2">
        <v>326</v>
      </c>
      <c r="B329" s="92"/>
      <c r="C329" s="92"/>
      <c r="D329" s="92"/>
      <c r="E329" s="85"/>
      <c r="F329" s="92"/>
      <c r="G329" s="85" t="str">
        <f t="shared" si="14"/>
        <v/>
      </c>
      <c r="H329" s="92">
        <f t="shared" ref="H329:H351" si="15">I329/8</f>
        <v>0</v>
      </c>
      <c r="I329" s="92"/>
      <c r="J329" s="92"/>
      <c r="K329" s="92"/>
      <c r="L329" s="48"/>
    </row>
    <row r="330" spans="1:12" x14ac:dyDescent="0.35">
      <c r="A330" s="2">
        <v>327</v>
      </c>
      <c r="B330" s="92"/>
      <c r="C330" s="92"/>
      <c r="D330" s="92"/>
      <c r="E330" s="85"/>
      <c r="F330" s="92"/>
      <c r="G330" s="85" t="str">
        <f t="shared" si="14"/>
        <v/>
      </c>
      <c r="H330" s="92">
        <f t="shared" si="15"/>
        <v>0</v>
      </c>
      <c r="I330" s="92"/>
      <c r="J330" s="92"/>
      <c r="K330" s="92"/>
      <c r="L330" s="48"/>
    </row>
    <row r="331" spans="1:12" x14ac:dyDescent="0.35">
      <c r="A331" s="2">
        <v>328</v>
      </c>
      <c r="B331" s="92"/>
      <c r="C331" s="92"/>
      <c r="D331" s="92"/>
      <c r="E331" s="85"/>
      <c r="F331" s="92"/>
      <c r="G331" s="85" t="str">
        <f t="shared" si="14"/>
        <v/>
      </c>
      <c r="H331" s="92">
        <f t="shared" si="15"/>
        <v>0</v>
      </c>
      <c r="I331" s="92"/>
      <c r="J331" s="92"/>
      <c r="K331" s="92"/>
      <c r="L331" s="48"/>
    </row>
    <row r="332" spans="1:12" x14ac:dyDescent="0.35">
      <c r="A332" s="2">
        <v>329</v>
      </c>
      <c r="B332" s="92"/>
      <c r="C332" s="92"/>
      <c r="D332" s="92"/>
      <c r="E332" s="85"/>
      <c r="F332" s="92"/>
      <c r="G332" s="85" t="str">
        <f t="shared" si="14"/>
        <v/>
      </c>
      <c r="H332" s="92">
        <f t="shared" si="15"/>
        <v>0</v>
      </c>
      <c r="I332" s="92"/>
      <c r="J332" s="92"/>
      <c r="K332" s="92"/>
      <c r="L332" s="48"/>
    </row>
    <row r="333" spans="1:12" x14ac:dyDescent="0.35">
      <c r="A333" s="2">
        <v>330</v>
      </c>
      <c r="B333" s="92"/>
      <c r="C333" s="92"/>
      <c r="D333" s="92"/>
      <c r="E333" s="85"/>
      <c r="F333" s="92"/>
      <c r="G333" s="85" t="str">
        <f t="shared" si="14"/>
        <v/>
      </c>
      <c r="H333" s="92">
        <f t="shared" si="15"/>
        <v>0</v>
      </c>
      <c r="I333" s="92"/>
      <c r="J333" s="92"/>
      <c r="K333" s="92"/>
      <c r="L333" s="48"/>
    </row>
    <row r="334" spans="1:12" x14ac:dyDescent="0.35">
      <c r="A334" s="2">
        <v>331</v>
      </c>
      <c r="B334" s="92"/>
      <c r="C334" s="92"/>
      <c r="D334" s="92"/>
      <c r="E334" s="85"/>
      <c r="F334" s="92"/>
      <c r="G334" s="85" t="str">
        <f t="shared" si="14"/>
        <v/>
      </c>
      <c r="H334" s="92">
        <f t="shared" si="15"/>
        <v>0</v>
      </c>
      <c r="I334" s="92"/>
      <c r="J334" s="92"/>
      <c r="K334" s="92"/>
      <c r="L334" s="48"/>
    </row>
    <row r="335" spans="1:12" x14ac:dyDescent="0.35">
      <c r="A335" s="2">
        <v>332</v>
      </c>
      <c r="B335" s="92"/>
      <c r="C335" s="92"/>
      <c r="D335" s="92"/>
      <c r="E335" s="85"/>
      <c r="F335" s="92"/>
      <c r="G335" s="85" t="str">
        <f t="shared" si="14"/>
        <v/>
      </c>
      <c r="H335" s="92">
        <f t="shared" si="15"/>
        <v>0</v>
      </c>
      <c r="I335" s="92"/>
      <c r="J335" s="92"/>
      <c r="K335" s="92"/>
      <c r="L335" s="48"/>
    </row>
    <row r="336" spans="1:12" x14ac:dyDescent="0.35">
      <c r="A336" s="2">
        <v>333</v>
      </c>
      <c r="B336" s="92"/>
      <c r="C336" s="92"/>
      <c r="D336" s="92"/>
      <c r="E336" s="85"/>
      <c r="F336" s="92"/>
      <c r="G336" s="85" t="str">
        <f t="shared" si="14"/>
        <v/>
      </c>
      <c r="H336" s="92">
        <f t="shared" si="15"/>
        <v>0</v>
      </c>
      <c r="I336" s="92"/>
      <c r="J336" s="92"/>
      <c r="K336" s="92"/>
      <c r="L336" s="48"/>
    </row>
    <row r="337" spans="1:12" x14ac:dyDescent="0.35">
      <c r="A337" s="2">
        <v>334</v>
      </c>
      <c r="B337" s="92"/>
      <c r="C337" s="92"/>
      <c r="D337" s="92"/>
      <c r="E337" s="85"/>
      <c r="F337" s="92"/>
      <c r="G337" s="85" t="str">
        <f t="shared" si="14"/>
        <v/>
      </c>
      <c r="H337" s="92">
        <f t="shared" si="15"/>
        <v>0</v>
      </c>
      <c r="I337" s="92"/>
      <c r="J337" s="92"/>
      <c r="K337" s="92"/>
      <c r="L337" s="48"/>
    </row>
    <row r="338" spans="1:12" x14ac:dyDescent="0.35">
      <c r="A338" s="2">
        <v>335</v>
      </c>
      <c r="B338" s="92"/>
      <c r="C338" s="92"/>
      <c r="D338" s="92"/>
      <c r="E338" s="85"/>
      <c r="F338" s="92"/>
      <c r="G338" s="85" t="str">
        <f t="shared" si="14"/>
        <v/>
      </c>
      <c r="H338" s="92">
        <f t="shared" si="15"/>
        <v>0</v>
      </c>
      <c r="I338" s="92"/>
      <c r="J338" s="92"/>
      <c r="K338" s="92"/>
      <c r="L338" s="48"/>
    </row>
    <row r="339" spans="1:12" x14ac:dyDescent="0.35">
      <c r="A339" s="2">
        <v>336</v>
      </c>
      <c r="B339" s="92"/>
      <c r="C339" s="92"/>
      <c r="D339" s="92"/>
      <c r="E339" s="85"/>
      <c r="F339" s="92"/>
      <c r="G339" s="85" t="str">
        <f t="shared" si="14"/>
        <v/>
      </c>
      <c r="H339" s="92">
        <f t="shared" si="15"/>
        <v>0</v>
      </c>
      <c r="I339" s="92"/>
      <c r="J339" s="92"/>
      <c r="K339" s="92"/>
      <c r="L339" s="48"/>
    </row>
    <row r="340" spans="1:12" x14ac:dyDescent="0.35">
      <c r="A340" s="2">
        <v>337</v>
      </c>
      <c r="B340" s="92"/>
      <c r="C340" s="92"/>
      <c r="D340" s="92"/>
      <c r="E340" s="85"/>
      <c r="F340" s="92"/>
      <c r="G340" s="85"/>
      <c r="H340" s="92">
        <f t="shared" si="15"/>
        <v>0</v>
      </c>
      <c r="I340" s="92"/>
      <c r="J340" s="92"/>
      <c r="K340" s="92"/>
      <c r="L340" s="48"/>
    </row>
    <row r="341" spans="1:12" x14ac:dyDescent="0.35">
      <c r="A341" s="2">
        <v>338</v>
      </c>
      <c r="B341" s="92"/>
      <c r="C341" s="92"/>
      <c r="D341" s="92"/>
      <c r="E341" s="85"/>
      <c r="F341" s="92"/>
      <c r="G341" s="85"/>
      <c r="H341" s="92">
        <f t="shared" si="15"/>
        <v>0</v>
      </c>
      <c r="I341" s="92"/>
      <c r="J341" s="92"/>
      <c r="K341" s="92"/>
      <c r="L341" s="48"/>
    </row>
    <row r="342" spans="1:12" x14ac:dyDescent="0.35">
      <c r="A342" s="2">
        <v>339</v>
      </c>
      <c r="B342" s="92"/>
      <c r="C342" s="92"/>
      <c r="D342" s="92"/>
      <c r="E342" s="85"/>
      <c r="F342" s="92"/>
      <c r="G342" s="85"/>
      <c r="H342" s="92">
        <f t="shared" si="15"/>
        <v>0</v>
      </c>
      <c r="I342" s="92"/>
      <c r="J342" s="92"/>
      <c r="K342" s="92"/>
      <c r="L342" s="48"/>
    </row>
    <row r="343" spans="1:12" x14ac:dyDescent="0.35">
      <c r="A343" s="2">
        <v>340</v>
      </c>
      <c r="B343" s="92"/>
      <c r="C343" s="92"/>
      <c r="D343" s="92"/>
      <c r="E343" s="85"/>
      <c r="F343" s="92"/>
      <c r="G343" s="85"/>
      <c r="H343" s="92">
        <f t="shared" si="15"/>
        <v>0</v>
      </c>
      <c r="I343" s="92"/>
      <c r="J343" s="92"/>
      <c r="K343" s="92"/>
      <c r="L343" s="48"/>
    </row>
    <row r="344" spans="1:12" x14ac:dyDescent="0.35">
      <c r="A344" s="2">
        <v>341</v>
      </c>
      <c r="B344" s="92"/>
      <c r="C344" s="92"/>
      <c r="D344" s="92"/>
      <c r="E344" s="85"/>
      <c r="F344" s="92"/>
      <c r="G344" s="85"/>
      <c r="H344" s="92">
        <f t="shared" si="15"/>
        <v>0</v>
      </c>
      <c r="I344" s="92"/>
      <c r="J344" s="92"/>
      <c r="K344" s="92"/>
      <c r="L344" s="48"/>
    </row>
    <row r="345" spans="1:12" x14ac:dyDescent="0.35">
      <c r="A345" s="2">
        <v>342</v>
      </c>
      <c r="B345" s="92"/>
      <c r="C345" s="92"/>
      <c r="D345" s="92"/>
      <c r="E345" s="85"/>
      <c r="F345" s="92"/>
      <c r="G345" s="85"/>
      <c r="H345" s="92">
        <f t="shared" si="15"/>
        <v>0</v>
      </c>
      <c r="I345" s="92"/>
      <c r="J345" s="92"/>
      <c r="K345" s="92"/>
      <c r="L345" s="48"/>
    </row>
    <row r="346" spans="1:12" x14ac:dyDescent="0.35">
      <c r="A346" s="2">
        <v>343</v>
      </c>
      <c r="B346" s="92"/>
      <c r="C346" s="92"/>
      <c r="D346" s="92"/>
      <c r="E346" s="85"/>
      <c r="F346" s="92"/>
      <c r="G346" s="85"/>
      <c r="H346" s="92">
        <f t="shared" si="15"/>
        <v>0</v>
      </c>
      <c r="I346" s="92"/>
      <c r="J346" s="92"/>
      <c r="K346" s="92"/>
      <c r="L346" s="48"/>
    </row>
    <row r="347" spans="1:12" x14ac:dyDescent="0.35">
      <c r="A347" s="2">
        <v>344</v>
      </c>
      <c r="B347" s="92"/>
      <c r="C347" s="92"/>
      <c r="D347" s="92"/>
      <c r="E347" s="85"/>
      <c r="F347" s="92"/>
      <c r="G347" s="85"/>
      <c r="H347" s="92">
        <f t="shared" si="15"/>
        <v>0</v>
      </c>
      <c r="I347" s="92"/>
      <c r="J347" s="92"/>
      <c r="K347" s="92"/>
      <c r="L347" s="48"/>
    </row>
    <row r="348" spans="1:12" x14ac:dyDescent="0.35">
      <c r="A348" s="2">
        <v>345</v>
      </c>
      <c r="B348" s="92"/>
      <c r="C348" s="92"/>
      <c r="D348" s="92"/>
      <c r="E348" s="85"/>
      <c r="F348" s="92"/>
      <c r="G348" s="85"/>
      <c r="H348" s="92">
        <f t="shared" si="15"/>
        <v>0</v>
      </c>
      <c r="I348" s="92"/>
      <c r="J348" s="92"/>
      <c r="K348" s="92"/>
      <c r="L348" s="48"/>
    </row>
    <row r="349" spans="1:12" x14ac:dyDescent="0.35">
      <c r="A349" s="2">
        <v>346</v>
      </c>
      <c r="B349" s="92"/>
      <c r="C349" s="92"/>
      <c r="D349" s="92"/>
      <c r="E349" s="85"/>
      <c r="F349" s="92"/>
      <c r="G349" s="85"/>
      <c r="H349" s="92">
        <f t="shared" si="15"/>
        <v>0</v>
      </c>
      <c r="I349" s="92"/>
      <c r="J349" s="92"/>
      <c r="K349" s="92"/>
      <c r="L349" s="48"/>
    </row>
    <row r="350" spans="1:12" x14ac:dyDescent="0.35">
      <c r="A350" s="2">
        <v>347</v>
      </c>
      <c r="B350" s="92"/>
      <c r="C350" s="92"/>
      <c r="D350" s="92"/>
      <c r="E350" s="85"/>
      <c r="F350" s="92"/>
      <c r="G350" s="85"/>
      <c r="H350" s="92">
        <f t="shared" si="15"/>
        <v>0</v>
      </c>
      <c r="I350" s="92"/>
      <c r="J350" s="92"/>
      <c r="K350" s="92"/>
      <c r="L350" s="48"/>
    </row>
    <row r="351" spans="1:12" x14ac:dyDescent="0.35">
      <c r="A351" s="2">
        <v>348</v>
      </c>
      <c r="B351" s="92"/>
      <c r="C351" s="92"/>
      <c r="D351" s="92"/>
      <c r="E351" s="85"/>
      <c r="F351" s="92"/>
      <c r="G351" s="85"/>
      <c r="H351" s="92">
        <f t="shared" si="15"/>
        <v>0</v>
      </c>
      <c r="I351" s="92"/>
      <c r="J351" s="92"/>
      <c r="K351" s="92"/>
    </row>
    <row r="354" spans="12:12" x14ac:dyDescent="0.35">
      <c r="L354" s="48"/>
    </row>
    <row r="355" spans="12:12" x14ac:dyDescent="0.35">
      <c r="L355" s="48"/>
    </row>
    <row r="356" spans="12:12" x14ac:dyDescent="0.35">
      <c r="L356" s="48"/>
    </row>
    <row r="357" spans="12:12" x14ac:dyDescent="0.35">
      <c r="L357" s="48"/>
    </row>
    <row r="358" spans="12:12" x14ac:dyDescent="0.35">
      <c r="L358" s="48"/>
    </row>
    <row r="359" spans="12:12" x14ac:dyDescent="0.35">
      <c r="L359" s="48"/>
    </row>
    <row r="360" spans="12:12" x14ac:dyDescent="0.35">
      <c r="L360" s="48"/>
    </row>
    <row r="361" spans="12:12" x14ac:dyDescent="0.35">
      <c r="L361" s="48"/>
    </row>
    <row r="362" spans="12:12" x14ac:dyDescent="0.35">
      <c r="L362" s="48"/>
    </row>
  </sheetData>
  <autoFilter ref="A3:P351"/>
  <mergeCells count="1">
    <mergeCell ref="B2:K2"/>
  </mergeCells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2C8DFC51AF3B4EB65BD50C37B43287" ma:contentTypeVersion="2" ma:contentTypeDescription="Crear nuevo documento." ma:contentTypeScope="" ma:versionID="9ea8accfe353557586bfeb9015359011">
  <xsd:schema xmlns:xsd="http://www.w3.org/2001/XMLSchema" xmlns:xs="http://www.w3.org/2001/XMLSchema" xmlns:p="http://schemas.microsoft.com/office/2006/metadata/properties" xmlns:ns2="044daf4f-d228-4db0-b794-ba8ccf0f2444" targetNamespace="http://schemas.microsoft.com/office/2006/metadata/properties" ma:root="true" ma:fieldsID="68f0e874b87165a78919e4e79ec00c71" ns2:_="">
    <xsd:import namespace="044daf4f-d228-4db0-b794-ba8ccf0f24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daf4f-d228-4db0-b794-ba8ccf0f2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F17497-D361-470B-B9F6-C21F08BA3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daf4f-d228-4db0-b794-ba8ccf0f24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CD916D-C622-4909-9FFC-91A84006EE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C2232B3-1C17-4D5F-830F-FC3F648163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17</vt:i4>
      </vt:variant>
    </vt:vector>
  </HeadingPairs>
  <TitlesOfParts>
    <vt:vector size="21" baseType="lpstr">
      <vt:lpstr>Plantilla valoración</vt:lpstr>
      <vt:lpstr>DATA COMBOS</vt:lpstr>
      <vt:lpstr>estimaciones Nuevo</vt:lpstr>
      <vt:lpstr>estimaciones Modificación</vt:lpstr>
      <vt:lpstr>AMBITO</vt:lpstr>
      <vt:lpstr>CE</vt:lpstr>
      <vt:lpstr>CEGeneral</vt:lpstr>
      <vt:lpstr>COMPLEJIDAD</vt:lpstr>
      <vt:lpstr>CT</vt:lpstr>
      <vt:lpstr>CTAPI</vt:lpstr>
      <vt:lpstr>CTCore</vt:lpstr>
      <vt:lpstr>CTFrontal</vt:lpstr>
      <vt:lpstr>CTGeneral</vt:lpstr>
      <vt:lpstr>DT</vt:lpstr>
      <vt:lpstr>DTAPI</vt:lpstr>
      <vt:lpstr>DTCore</vt:lpstr>
      <vt:lpstr>DTFrontal</vt:lpstr>
      <vt:lpstr>DTGeneral</vt:lpstr>
      <vt:lpstr>MD</vt:lpstr>
      <vt:lpstr>MDDAO</vt:lpstr>
      <vt:lpstr>NUEVO_MODIF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2020-01-17T11:03:01Z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0x010100542C8DFC51AF3B4EB65BD50C37B43287</vt:lpwstr>
  </property>
</Properties>
</file>