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filterPrivacy="1"/>
  <xr:revisionPtr revIDLastSave="0" documentId="13_ncr:1_{B1DEBA7D-3995-4350-A799-71A18EC84CB1}" xr6:coauthVersionLast="45" xr6:coauthVersionMax="45" xr10:uidLastSave="{00000000-0000-0000-0000-000000000000}"/>
  <bookViews>
    <workbookView xWindow="-120" yWindow="-120" windowWidth="29040" windowHeight="15840" tabRatio="659" xr2:uid="{00000000-000D-0000-FFFF-FFFF00000000}"/>
  </bookViews>
  <sheets>
    <sheet name="Plantilla valoración" sheetId="4" r:id="rId1"/>
    <sheet name="DATA COMBOS" sheetId="7" r:id="rId2"/>
    <sheet name="estimaciones Nuevo" sheetId="1" r:id="rId3"/>
    <sheet name="estimaciones Modificación" sheetId="8" r:id="rId4"/>
  </sheets>
  <definedNames>
    <definedName name="_xlnm._FilterDatabase" localSheetId="3" hidden="1">'estimaciones Modificación'!$A$3:$P$386</definedName>
    <definedName name="_xlnm._FilterDatabase" localSheetId="2" hidden="1">'estimaciones Nuevo'!$A$3:$P$414</definedName>
    <definedName name="_xlnm._FilterDatabase" localSheetId="0" hidden="1">'Plantilla valoración'!$C$19:$P$25</definedName>
    <definedName name="_Toc306037349" localSheetId="0">'Plantilla valoración'!#REF!</definedName>
    <definedName name="AMBITO">'DATA COMBOS'!$B$2:$B$5</definedName>
    <definedName name="AMBITO_CONSTRUCCION_CT">'DATA COMBOS'!$B$3</definedName>
    <definedName name="CE">'DATA COMBOS'!$C$21</definedName>
    <definedName name="CEGeneral">'DATA COMBOS'!$D$56</definedName>
    <definedName name="COMPLEJIDAD">'DATA COMBOS'!$E$2:$E$5</definedName>
    <definedName name="CT">'DATA COMBOS'!$C$9:$C$13</definedName>
    <definedName name="CTAPI_REST">'DATA COMBOS'!$D$33:$D$36</definedName>
    <definedName name="CTAPI_SOAP">'DATA COMBOS'!$D$38:$D$41</definedName>
    <definedName name="CTCore">'DATA COMBOS'!$D$25:$D$31</definedName>
    <definedName name="CTFrontal">'DATA COMBOS'!$D$43:$D$48</definedName>
    <definedName name="CTGeneral">'DATA COMBOS'!$D$50</definedName>
    <definedName name="DT">'DATA COMBOS'!$C$3:$C$7</definedName>
    <definedName name="DTAPI_REST">'DATA COMBOS'!$D$14:$D$16</definedName>
    <definedName name="DTAPI_SOAP">'DATA COMBOS'!$D$18:$D$20</definedName>
    <definedName name="DTCore">'DATA COMBOS'!$D$3:$D$7</definedName>
    <definedName name="DTFrontal">'DATA COMBOS'!$D$9:$D$12</definedName>
    <definedName name="DTGeneral">'DATA COMBOS'!$D$22:$D$23</definedName>
    <definedName name="MD">'DATA COMBOS'!$C$19</definedName>
    <definedName name="MDDAO">'DATA COMBOS'!$D$52:$D$54</definedName>
    <definedName name="NUEVO_MODIF">'DATA COMBOS'!$A$2:$A$3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1" i="8" l="1"/>
  <c r="G131" i="8"/>
  <c r="H130" i="8"/>
  <c r="G130" i="8"/>
  <c r="H129" i="8"/>
  <c r="G129" i="8"/>
  <c r="H128" i="8"/>
  <c r="G128" i="8"/>
  <c r="H127" i="8"/>
  <c r="G127" i="8"/>
  <c r="H126" i="8"/>
  <c r="G126" i="8"/>
  <c r="H125" i="8"/>
  <c r="G125" i="8"/>
  <c r="H124" i="8"/>
  <c r="G124" i="8"/>
  <c r="H123" i="8"/>
  <c r="G123" i="8"/>
  <c r="H122" i="8"/>
  <c r="G122" i="8"/>
  <c r="H121" i="8"/>
  <c r="G121" i="8"/>
  <c r="H120" i="8"/>
  <c r="G120" i="8"/>
  <c r="H119" i="8"/>
  <c r="G119" i="8"/>
  <c r="H118" i="8"/>
  <c r="G118" i="8"/>
  <c r="H117" i="8"/>
  <c r="G117" i="8"/>
  <c r="H116" i="8"/>
  <c r="G116" i="8"/>
  <c r="H63" i="8"/>
  <c r="G63" i="8"/>
  <c r="H62" i="8"/>
  <c r="G62" i="8"/>
  <c r="H61" i="8"/>
  <c r="G61" i="8"/>
  <c r="H60" i="8"/>
  <c r="G60" i="8"/>
  <c r="H59" i="8"/>
  <c r="G59" i="8"/>
  <c r="H58" i="8"/>
  <c r="G58" i="8"/>
  <c r="H57" i="8"/>
  <c r="G57" i="8"/>
  <c r="H56" i="8"/>
  <c r="G56" i="8"/>
  <c r="H55" i="8"/>
  <c r="G55" i="8"/>
  <c r="H54" i="8"/>
  <c r="G54" i="8"/>
  <c r="H53" i="8"/>
  <c r="G53" i="8"/>
  <c r="H52" i="8"/>
  <c r="G52" i="8"/>
  <c r="H71" i="1" l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76" i="8"/>
  <c r="H177" i="8"/>
  <c r="H178" i="8"/>
  <c r="H179" i="8"/>
  <c r="H180" i="8"/>
  <c r="H181" i="8"/>
  <c r="H182" i="8"/>
  <c r="H183" i="8"/>
  <c r="H168" i="8"/>
  <c r="H169" i="8"/>
  <c r="H170" i="8"/>
  <c r="H171" i="8"/>
  <c r="H172" i="8"/>
  <c r="H173" i="8"/>
  <c r="H174" i="8"/>
  <c r="H175" i="8"/>
  <c r="H47" i="1"/>
  <c r="G47" i="1"/>
  <c r="H46" i="1"/>
  <c r="G46" i="1"/>
  <c r="H45" i="1"/>
  <c r="G45" i="1"/>
  <c r="H44" i="1"/>
  <c r="G44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8" i="1"/>
  <c r="H49" i="1"/>
  <c r="H50" i="1"/>
  <c r="H51" i="1"/>
  <c r="H52" i="1"/>
  <c r="H53" i="1"/>
  <c r="H54" i="1"/>
  <c r="H55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8" i="1"/>
  <c r="G49" i="1"/>
  <c r="G50" i="1"/>
  <c r="G51" i="1"/>
  <c r="G52" i="1"/>
  <c r="G53" i="1"/>
  <c r="G54" i="1"/>
  <c r="G55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A3" i="1"/>
  <c r="A3" i="8"/>
  <c r="G169" i="8" l="1"/>
  <c r="H165" i="8"/>
  <c r="G165" i="8"/>
  <c r="H161" i="8"/>
  <c r="G161" i="8"/>
  <c r="H157" i="8"/>
  <c r="G157" i="8"/>
  <c r="H153" i="8"/>
  <c r="G153" i="8"/>
  <c r="H149" i="8"/>
  <c r="G149" i="8"/>
  <c r="H145" i="8"/>
  <c r="G145" i="8"/>
  <c r="H141" i="8"/>
  <c r="G141" i="8"/>
  <c r="H137" i="8"/>
  <c r="G137" i="8"/>
  <c r="H133" i="8"/>
  <c r="G133" i="8"/>
  <c r="H113" i="8"/>
  <c r="G113" i="8"/>
  <c r="H109" i="8"/>
  <c r="G109" i="8"/>
  <c r="H105" i="8"/>
  <c r="G105" i="8"/>
  <c r="H101" i="8"/>
  <c r="G101" i="8"/>
  <c r="H97" i="8"/>
  <c r="G97" i="8"/>
  <c r="H93" i="8"/>
  <c r="G93" i="8"/>
  <c r="H89" i="8"/>
  <c r="G89" i="8"/>
  <c r="H85" i="8"/>
  <c r="G85" i="8"/>
  <c r="H81" i="8"/>
  <c r="G81" i="8"/>
  <c r="H77" i="8"/>
  <c r="G77" i="8"/>
  <c r="H73" i="8"/>
  <c r="G73" i="8"/>
  <c r="H69" i="8"/>
  <c r="G69" i="8"/>
  <c r="H65" i="8"/>
  <c r="G65" i="8"/>
  <c r="H49" i="8"/>
  <c r="G49" i="8"/>
  <c r="H45" i="8"/>
  <c r="G45" i="8"/>
  <c r="H41" i="8"/>
  <c r="G41" i="8"/>
  <c r="H37" i="8"/>
  <c r="G37" i="8"/>
  <c r="H33" i="8"/>
  <c r="G33" i="8"/>
  <c r="H29" i="8"/>
  <c r="G29" i="8"/>
  <c r="H25" i="8"/>
  <c r="G25" i="8"/>
  <c r="H21" i="8"/>
  <c r="G21" i="8"/>
  <c r="H17" i="8"/>
  <c r="G17" i="8"/>
  <c r="H13" i="8"/>
  <c r="G13" i="8"/>
  <c r="H9" i="8"/>
  <c r="G9" i="8"/>
  <c r="H5" i="8"/>
  <c r="G5" i="8"/>
  <c r="G174" i="8"/>
  <c r="G175" i="8"/>
  <c r="P39" i="4" l="1"/>
  <c r="G94" i="8" l="1"/>
  <c r="G92" i="8"/>
  <c r="H40" i="8" l="1"/>
  <c r="H42" i="8"/>
  <c r="H43" i="8"/>
  <c r="H44" i="8"/>
  <c r="H46" i="8"/>
  <c r="H47" i="8"/>
  <c r="H48" i="8"/>
  <c r="H50" i="8"/>
  <c r="H51" i="8"/>
  <c r="H64" i="8"/>
  <c r="H66" i="8"/>
  <c r="H67" i="8"/>
  <c r="H68" i="8"/>
  <c r="H70" i="8"/>
  <c r="H71" i="8"/>
  <c r="H72" i="8"/>
  <c r="H74" i="8"/>
  <c r="H75" i="8"/>
  <c r="H76" i="8"/>
  <c r="H78" i="8"/>
  <c r="H79" i="8"/>
  <c r="H80" i="8"/>
  <c r="H82" i="8"/>
  <c r="H83" i="8"/>
  <c r="H84" i="8"/>
  <c r="H86" i="8"/>
  <c r="H87" i="8"/>
  <c r="H88" i="8"/>
  <c r="H90" i="8"/>
  <c r="H91" i="8"/>
  <c r="H92" i="8"/>
  <c r="H94" i="8"/>
  <c r="H95" i="8"/>
  <c r="H96" i="8"/>
  <c r="H98" i="8"/>
  <c r="H99" i="8"/>
  <c r="H100" i="8"/>
  <c r="H102" i="8"/>
  <c r="H103" i="8"/>
  <c r="H104" i="8"/>
  <c r="H106" i="8"/>
  <c r="H107" i="8"/>
  <c r="H108" i="8"/>
  <c r="H110" i="8"/>
  <c r="H111" i="8"/>
  <c r="H184" i="1" l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G64" i="8" l="1"/>
  <c r="G95" i="8" l="1"/>
  <c r="G99" i="8" l="1"/>
  <c r="G98" i="8"/>
  <c r="G96" i="8"/>
  <c r="G71" i="8"/>
  <c r="G70" i="8"/>
  <c r="G68" i="8"/>
  <c r="G83" i="8"/>
  <c r="G82" i="8"/>
  <c r="G80" i="8"/>
  <c r="G87" i="8"/>
  <c r="G86" i="8"/>
  <c r="G84" i="8"/>
  <c r="G79" i="8"/>
  <c r="G78" i="8"/>
  <c r="G76" i="8"/>
  <c r="G75" i="8"/>
  <c r="G74" i="8"/>
  <c r="G72" i="8"/>
  <c r="G67" i="8"/>
  <c r="G66" i="8"/>
  <c r="G51" i="8"/>
  <c r="G50" i="8"/>
  <c r="G48" i="8"/>
  <c r="G47" i="8"/>
  <c r="G46" i="8"/>
  <c r="G44" i="8"/>
  <c r="G43" i="8"/>
  <c r="G42" i="8"/>
  <c r="G40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G402" i="8"/>
  <c r="H401" i="8"/>
  <c r="G401" i="8"/>
  <c r="H400" i="8"/>
  <c r="G400" i="8"/>
  <c r="H399" i="8"/>
  <c r="G399" i="8"/>
  <c r="H398" i="8"/>
  <c r="G398" i="8"/>
  <c r="H397" i="8"/>
  <c r="G397" i="8"/>
  <c r="H396" i="8"/>
  <c r="G396" i="8"/>
  <c r="H395" i="8"/>
  <c r="G395" i="8"/>
  <c r="H394" i="8"/>
  <c r="G394" i="8"/>
  <c r="H393" i="8"/>
  <c r="G393" i="8"/>
  <c r="H392" i="8"/>
  <c r="G392" i="8"/>
  <c r="H391" i="8"/>
  <c r="G391" i="8"/>
  <c r="H390" i="8"/>
  <c r="G390" i="8"/>
  <c r="H389" i="8"/>
  <c r="G389" i="8"/>
  <c r="H388" i="8"/>
  <c r="G388" i="8"/>
  <c r="H387" i="8"/>
  <c r="G387" i="8"/>
  <c r="H386" i="8"/>
  <c r="G386" i="8"/>
  <c r="H385" i="8"/>
  <c r="G385" i="8"/>
  <c r="H384" i="8"/>
  <c r="G384" i="8"/>
  <c r="H383" i="8"/>
  <c r="G383" i="8"/>
  <c r="H382" i="8"/>
  <c r="G382" i="8"/>
  <c r="H381" i="8"/>
  <c r="G381" i="8"/>
  <c r="H380" i="8"/>
  <c r="G380" i="8"/>
  <c r="H379" i="8"/>
  <c r="G379" i="8"/>
  <c r="H378" i="8"/>
  <c r="G378" i="8"/>
  <c r="H377" i="8"/>
  <c r="G377" i="8"/>
  <c r="H376" i="8"/>
  <c r="G376" i="8"/>
  <c r="H375" i="8"/>
  <c r="G375" i="8"/>
  <c r="H374" i="8"/>
  <c r="G374" i="8"/>
  <c r="H373" i="8"/>
  <c r="G373" i="8"/>
  <c r="H372" i="8"/>
  <c r="G372" i="8"/>
  <c r="H371" i="8"/>
  <c r="G371" i="8"/>
  <c r="H370" i="8"/>
  <c r="G370" i="8"/>
  <c r="H369" i="8"/>
  <c r="G369" i="8"/>
  <c r="H368" i="8"/>
  <c r="G368" i="8"/>
  <c r="H367" i="8"/>
  <c r="G367" i="8"/>
  <c r="H366" i="8"/>
  <c r="G366" i="8"/>
  <c r="H365" i="8"/>
  <c r="G365" i="8"/>
  <c r="H364" i="8"/>
  <c r="G364" i="8"/>
  <c r="H363" i="8"/>
  <c r="G363" i="8"/>
  <c r="H362" i="8"/>
  <c r="G362" i="8"/>
  <c r="H361" i="8"/>
  <c r="G361" i="8"/>
  <c r="H360" i="8"/>
  <c r="G360" i="8"/>
  <c r="H359" i="8"/>
  <c r="G359" i="8"/>
  <c r="H358" i="8"/>
  <c r="G358" i="8"/>
  <c r="H357" i="8"/>
  <c r="G357" i="8"/>
  <c r="H356" i="8"/>
  <c r="G356" i="8"/>
  <c r="H355" i="8"/>
  <c r="G355" i="8"/>
  <c r="H354" i="8"/>
  <c r="G354" i="8"/>
  <c r="H353" i="8"/>
  <c r="G353" i="8"/>
  <c r="H352" i="8"/>
  <c r="G352" i="8"/>
  <c r="H351" i="8"/>
  <c r="G351" i="8"/>
  <c r="H350" i="8"/>
  <c r="G350" i="8"/>
  <c r="H349" i="8"/>
  <c r="G349" i="8"/>
  <c r="H348" i="8"/>
  <c r="G348" i="8"/>
  <c r="H347" i="8"/>
  <c r="G347" i="8"/>
  <c r="H346" i="8"/>
  <c r="G346" i="8"/>
  <c r="H345" i="8"/>
  <c r="G345" i="8"/>
  <c r="H344" i="8"/>
  <c r="G344" i="8"/>
  <c r="H343" i="8"/>
  <c r="G343" i="8"/>
  <c r="H342" i="8"/>
  <c r="G342" i="8"/>
  <c r="H341" i="8"/>
  <c r="G341" i="8"/>
  <c r="H340" i="8"/>
  <c r="G340" i="8"/>
  <c r="H339" i="8"/>
  <c r="G339" i="8"/>
  <c r="H338" i="8"/>
  <c r="G338" i="8"/>
  <c r="H337" i="8"/>
  <c r="G337" i="8"/>
  <c r="H336" i="8"/>
  <c r="G336" i="8"/>
  <c r="H335" i="8"/>
  <c r="G335" i="8"/>
  <c r="H334" i="8"/>
  <c r="G334" i="8"/>
  <c r="H333" i="8"/>
  <c r="G333" i="8"/>
  <c r="H332" i="8"/>
  <c r="G332" i="8"/>
  <c r="H331" i="8"/>
  <c r="G331" i="8"/>
  <c r="H330" i="8"/>
  <c r="G330" i="8"/>
  <c r="H329" i="8"/>
  <c r="G329" i="8"/>
  <c r="H328" i="8"/>
  <c r="G328" i="8"/>
  <c r="H327" i="8"/>
  <c r="G327" i="8"/>
  <c r="H326" i="8"/>
  <c r="G326" i="8"/>
  <c r="H325" i="8"/>
  <c r="G325" i="8"/>
  <c r="H324" i="8"/>
  <c r="G324" i="8"/>
  <c r="H323" i="8"/>
  <c r="G323" i="8"/>
  <c r="H322" i="8"/>
  <c r="G322" i="8"/>
  <c r="H321" i="8"/>
  <c r="G321" i="8"/>
  <c r="H320" i="8"/>
  <c r="G320" i="8"/>
  <c r="H319" i="8"/>
  <c r="G319" i="8"/>
  <c r="H318" i="8"/>
  <c r="G318" i="8"/>
  <c r="H317" i="8"/>
  <c r="G317" i="8"/>
  <c r="H316" i="8"/>
  <c r="G316" i="8"/>
  <c r="H315" i="8"/>
  <c r="G315" i="8"/>
  <c r="H314" i="8"/>
  <c r="G314" i="8"/>
  <c r="H313" i="8"/>
  <c r="G313" i="8"/>
  <c r="H312" i="8"/>
  <c r="G312" i="8"/>
  <c r="H311" i="8"/>
  <c r="G311" i="8"/>
  <c r="H310" i="8"/>
  <c r="G310" i="8"/>
  <c r="H309" i="8"/>
  <c r="G309" i="8"/>
  <c r="H308" i="8"/>
  <c r="G308" i="8"/>
  <c r="H307" i="8"/>
  <c r="G307" i="8"/>
  <c r="H306" i="8"/>
  <c r="G306" i="8"/>
  <c r="H305" i="8"/>
  <c r="G305" i="8"/>
  <c r="H304" i="8"/>
  <c r="G304" i="8"/>
  <c r="H303" i="8"/>
  <c r="G303" i="8"/>
  <c r="H302" i="8"/>
  <c r="G302" i="8"/>
  <c r="H301" i="8"/>
  <c r="G301" i="8"/>
  <c r="H300" i="8"/>
  <c r="G300" i="8"/>
  <c r="H299" i="8"/>
  <c r="G299" i="8"/>
  <c r="H298" i="8"/>
  <c r="G298" i="8"/>
  <c r="H297" i="8"/>
  <c r="G297" i="8"/>
  <c r="H296" i="8"/>
  <c r="G296" i="8"/>
  <c r="H295" i="8"/>
  <c r="G295" i="8"/>
  <c r="H294" i="8"/>
  <c r="G294" i="8"/>
  <c r="H293" i="8"/>
  <c r="G293" i="8"/>
  <c r="H292" i="8"/>
  <c r="G292" i="8"/>
  <c r="H291" i="8"/>
  <c r="G291" i="8"/>
  <c r="H290" i="8"/>
  <c r="G290" i="8"/>
  <c r="H289" i="8"/>
  <c r="G289" i="8"/>
  <c r="H288" i="8"/>
  <c r="G288" i="8"/>
  <c r="H287" i="8"/>
  <c r="G287" i="8"/>
  <c r="H286" i="8"/>
  <c r="G286" i="8"/>
  <c r="H285" i="8"/>
  <c r="G285" i="8"/>
  <c r="H284" i="8"/>
  <c r="G284" i="8"/>
  <c r="H283" i="8"/>
  <c r="G283" i="8"/>
  <c r="H282" i="8"/>
  <c r="G282" i="8"/>
  <c r="H281" i="8"/>
  <c r="G281" i="8"/>
  <c r="H280" i="8"/>
  <c r="G280" i="8"/>
  <c r="H279" i="8"/>
  <c r="G279" i="8"/>
  <c r="H278" i="8"/>
  <c r="G278" i="8"/>
  <c r="H277" i="8"/>
  <c r="G277" i="8"/>
  <c r="H276" i="8"/>
  <c r="G276" i="8"/>
  <c r="H275" i="8"/>
  <c r="G275" i="8"/>
  <c r="H274" i="8"/>
  <c r="G274" i="8"/>
  <c r="H273" i="8"/>
  <c r="G273" i="8"/>
  <c r="H272" i="8"/>
  <c r="G272" i="8"/>
  <c r="H271" i="8"/>
  <c r="G271" i="8"/>
  <c r="H270" i="8"/>
  <c r="G270" i="8"/>
  <c r="H269" i="8"/>
  <c r="G269" i="8"/>
  <c r="H268" i="8"/>
  <c r="G268" i="8"/>
  <c r="H267" i="8"/>
  <c r="G267" i="8"/>
  <c r="H266" i="8"/>
  <c r="G266" i="8"/>
  <c r="H265" i="8"/>
  <c r="G265" i="8"/>
  <c r="H264" i="8"/>
  <c r="G264" i="8"/>
  <c r="H263" i="8"/>
  <c r="G263" i="8"/>
  <c r="H262" i="8"/>
  <c r="G262" i="8"/>
  <c r="H261" i="8"/>
  <c r="G261" i="8"/>
  <c r="H260" i="8"/>
  <c r="G260" i="8"/>
  <c r="H259" i="8"/>
  <c r="G259" i="8"/>
  <c r="H258" i="8"/>
  <c r="G258" i="8"/>
  <c r="H257" i="8"/>
  <c r="G257" i="8"/>
  <c r="H256" i="8"/>
  <c r="G256" i="8"/>
  <c r="H255" i="8"/>
  <c r="G255" i="8"/>
  <c r="H254" i="8"/>
  <c r="G254" i="8"/>
  <c r="H253" i="8"/>
  <c r="G253" i="8"/>
  <c r="H252" i="8"/>
  <c r="G252" i="8"/>
  <c r="H251" i="8"/>
  <c r="G251" i="8"/>
  <c r="H250" i="8"/>
  <c r="G250" i="8"/>
  <c r="H249" i="8"/>
  <c r="G249" i="8"/>
  <c r="H248" i="8"/>
  <c r="G248" i="8"/>
  <c r="H247" i="8"/>
  <c r="G247" i="8"/>
  <c r="H246" i="8"/>
  <c r="G246" i="8"/>
  <c r="H245" i="8"/>
  <c r="G245" i="8"/>
  <c r="H244" i="8"/>
  <c r="G244" i="8"/>
  <c r="H243" i="8"/>
  <c r="G243" i="8"/>
  <c r="H242" i="8"/>
  <c r="G242" i="8"/>
  <c r="H241" i="8"/>
  <c r="G241" i="8"/>
  <c r="H240" i="8"/>
  <c r="G240" i="8"/>
  <c r="H239" i="8"/>
  <c r="G239" i="8"/>
  <c r="H238" i="8"/>
  <c r="G238" i="8"/>
  <c r="H237" i="8"/>
  <c r="G237" i="8"/>
  <c r="H236" i="8"/>
  <c r="G236" i="8"/>
  <c r="H235" i="8"/>
  <c r="G235" i="8"/>
  <c r="H234" i="8"/>
  <c r="G234" i="8"/>
  <c r="H233" i="8"/>
  <c r="G233" i="8"/>
  <c r="H232" i="8"/>
  <c r="G232" i="8"/>
  <c r="H231" i="8"/>
  <c r="G231" i="8"/>
  <c r="H230" i="8"/>
  <c r="G230" i="8"/>
  <c r="H229" i="8"/>
  <c r="G229" i="8"/>
  <c r="H228" i="8"/>
  <c r="G228" i="8"/>
  <c r="H227" i="8"/>
  <c r="G227" i="8"/>
  <c r="H226" i="8"/>
  <c r="G226" i="8"/>
  <c r="H225" i="8"/>
  <c r="G225" i="8"/>
  <c r="H224" i="8"/>
  <c r="G224" i="8"/>
  <c r="H223" i="8"/>
  <c r="G223" i="8"/>
  <c r="H222" i="8"/>
  <c r="G222" i="8"/>
  <c r="H221" i="8"/>
  <c r="G221" i="8"/>
  <c r="H220" i="8"/>
  <c r="G220" i="8"/>
  <c r="H219" i="8"/>
  <c r="G219" i="8"/>
  <c r="H218" i="8"/>
  <c r="G218" i="8"/>
  <c r="H217" i="8"/>
  <c r="G217" i="8"/>
  <c r="H216" i="8"/>
  <c r="G216" i="8"/>
  <c r="H215" i="8"/>
  <c r="G215" i="8"/>
  <c r="H214" i="8"/>
  <c r="G214" i="8"/>
  <c r="H213" i="8"/>
  <c r="G213" i="8"/>
  <c r="H212" i="8"/>
  <c r="G212" i="8"/>
  <c r="H211" i="8"/>
  <c r="G211" i="8"/>
  <c r="H210" i="8"/>
  <c r="G210" i="8"/>
  <c r="H209" i="8"/>
  <c r="G209" i="8"/>
  <c r="H208" i="8"/>
  <c r="G208" i="8"/>
  <c r="H207" i="8"/>
  <c r="G207" i="8"/>
  <c r="H206" i="8"/>
  <c r="G206" i="8"/>
  <c r="H205" i="8"/>
  <c r="G205" i="8"/>
  <c r="H204" i="8"/>
  <c r="G204" i="8"/>
  <c r="H203" i="8"/>
  <c r="G203" i="8"/>
  <c r="H202" i="8"/>
  <c r="G202" i="8"/>
  <c r="H201" i="8"/>
  <c r="G201" i="8"/>
  <c r="H200" i="8"/>
  <c r="G200" i="8"/>
  <c r="H199" i="8"/>
  <c r="G199" i="8"/>
  <c r="H198" i="8"/>
  <c r="G198" i="8"/>
  <c r="H197" i="8"/>
  <c r="G197" i="8"/>
  <c r="H196" i="8"/>
  <c r="G196" i="8"/>
  <c r="H195" i="8"/>
  <c r="G195" i="8"/>
  <c r="H194" i="8"/>
  <c r="G194" i="8"/>
  <c r="H193" i="8"/>
  <c r="G193" i="8"/>
  <c r="H192" i="8"/>
  <c r="G192" i="8"/>
  <c r="H191" i="8"/>
  <c r="G191" i="8"/>
  <c r="H190" i="8"/>
  <c r="G190" i="8"/>
  <c r="H189" i="8"/>
  <c r="G189" i="8"/>
  <c r="H188" i="8"/>
  <c r="G188" i="8"/>
  <c r="H187" i="8"/>
  <c r="G187" i="8"/>
  <c r="H186" i="8"/>
  <c r="G186" i="8"/>
  <c r="H185" i="8"/>
  <c r="G185" i="8"/>
  <c r="H184" i="8"/>
  <c r="G184" i="8"/>
  <c r="G183" i="8"/>
  <c r="G182" i="8"/>
  <c r="G181" i="8"/>
  <c r="G180" i="8"/>
  <c r="G179" i="8"/>
  <c r="G178" i="8"/>
  <c r="G177" i="8"/>
  <c r="G176" i="8"/>
  <c r="G173" i="8"/>
  <c r="G172" i="8"/>
  <c r="G171" i="8"/>
  <c r="G170" i="8"/>
  <c r="G168" i="8"/>
  <c r="H167" i="8"/>
  <c r="G167" i="8"/>
  <c r="H166" i="8"/>
  <c r="G166" i="8"/>
  <c r="H164" i="8"/>
  <c r="G164" i="8"/>
  <c r="H163" i="8"/>
  <c r="G163" i="8"/>
  <c r="H162" i="8"/>
  <c r="G162" i="8"/>
  <c r="H160" i="8"/>
  <c r="G160" i="8"/>
  <c r="H159" i="8"/>
  <c r="G159" i="8"/>
  <c r="H158" i="8"/>
  <c r="G158" i="8"/>
  <c r="H156" i="8"/>
  <c r="G156" i="8"/>
  <c r="H155" i="8"/>
  <c r="G155" i="8"/>
  <c r="H154" i="8"/>
  <c r="G154" i="8"/>
  <c r="H152" i="8"/>
  <c r="G152" i="8"/>
  <c r="H151" i="8"/>
  <c r="G151" i="8"/>
  <c r="H150" i="8"/>
  <c r="G150" i="8"/>
  <c r="H148" i="8"/>
  <c r="G148" i="8"/>
  <c r="H147" i="8"/>
  <c r="G147" i="8"/>
  <c r="H146" i="8"/>
  <c r="G146" i="8"/>
  <c r="H144" i="8"/>
  <c r="G144" i="8"/>
  <c r="H143" i="8"/>
  <c r="G143" i="8"/>
  <c r="H142" i="8"/>
  <c r="G142" i="8"/>
  <c r="H140" i="8"/>
  <c r="G140" i="8"/>
  <c r="H139" i="8"/>
  <c r="G139" i="8"/>
  <c r="H138" i="8"/>
  <c r="G138" i="8"/>
  <c r="H136" i="8"/>
  <c r="G136" i="8"/>
  <c r="H135" i="8"/>
  <c r="G135" i="8"/>
  <c r="H134" i="8"/>
  <c r="G134" i="8"/>
  <c r="H132" i="8"/>
  <c r="G132" i="8"/>
  <c r="H115" i="8"/>
  <c r="G115" i="8"/>
  <c r="H114" i="8"/>
  <c r="G114" i="8"/>
  <c r="H112" i="8"/>
  <c r="G112" i="8"/>
  <c r="G111" i="8"/>
  <c r="G110" i="8"/>
  <c r="G108" i="8"/>
  <c r="G107" i="8"/>
  <c r="G106" i="8"/>
  <c r="G104" i="8"/>
  <c r="G103" i="8"/>
  <c r="G102" i="8"/>
  <c r="G100" i="8"/>
  <c r="G91" i="8"/>
  <c r="G90" i="8"/>
  <c r="G88" i="8"/>
  <c r="H39" i="8"/>
  <c r="G39" i="8"/>
  <c r="H38" i="8"/>
  <c r="G38" i="8"/>
  <c r="H36" i="8"/>
  <c r="G36" i="8"/>
  <c r="H35" i="8"/>
  <c r="G35" i="8"/>
  <c r="H34" i="8"/>
  <c r="G34" i="8"/>
  <c r="H32" i="8"/>
  <c r="G32" i="8"/>
  <c r="H31" i="8"/>
  <c r="G31" i="8"/>
  <c r="H30" i="8"/>
  <c r="G30" i="8"/>
  <c r="H28" i="8"/>
  <c r="G28" i="8"/>
  <c r="H27" i="8"/>
  <c r="G27" i="8"/>
  <c r="H26" i="8"/>
  <c r="G26" i="8"/>
  <c r="H24" i="8"/>
  <c r="G24" i="8"/>
  <c r="H23" i="8"/>
  <c r="G23" i="8"/>
  <c r="H22" i="8"/>
  <c r="G22" i="8"/>
  <c r="H20" i="8"/>
  <c r="G20" i="8"/>
  <c r="H19" i="8"/>
  <c r="G19" i="8"/>
  <c r="H18" i="8"/>
  <c r="G18" i="8"/>
  <c r="H16" i="8"/>
  <c r="G16" i="8"/>
  <c r="H15" i="8"/>
  <c r="G15" i="8"/>
  <c r="H14" i="8"/>
  <c r="G14" i="8"/>
  <c r="H12" i="8"/>
  <c r="G12" i="8"/>
  <c r="H11" i="8"/>
  <c r="G11" i="8"/>
  <c r="H10" i="8"/>
  <c r="G10" i="8"/>
  <c r="H8" i="8"/>
  <c r="G8" i="8"/>
  <c r="H7" i="8"/>
  <c r="G7" i="8"/>
  <c r="H6" i="8"/>
  <c r="G6" i="8"/>
  <c r="H4" i="8"/>
  <c r="G4" i="8"/>
  <c r="G184" i="1" l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H4" i="1"/>
  <c r="G4" i="1"/>
  <c r="O20" i="4"/>
  <c r="O22" i="4"/>
  <c r="O24" i="4"/>
  <c r="O23" i="4"/>
  <c r="O21" i="4"/>
  <c r="P23" i="4" l="1"/>
  <c r="P22" i="4"/>
  <c r="P24" i="4"/>
  <c r="P21" i="4"/>
  <c r="P20" i="4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P27" i="4" l="1"/>
  <c r="P35" i="4" l="1"/>
  <c r="P36" i="4"/>
  <c r="P33" i="4"/>
  <c r="P34" i="4"/>
  <c r="P40" i="4" l="1"/>
  <c r="M9" i="4" s="1"/>
  <c r="P45" i="4" l="1"/>
</calcChain>
</file>

<file path=xl/sharedStrings.xml><?xml version="1.0" encoding="utf-8"?>
<sst xmlns="http://schemas.openxmlformats.org/spreadsheetml/2006/main" count="1970" uniqueCount="114">
  <si>
    <t>Complejidad</t>
  </si>
  <si>
    <t>Valoración de los desarrollos</t>
  </si>
  <si>
    <t>Nuevo / Modif.</t>
  </si>
  <si>
    <t>Fecha de valoración:</t>
  </si>
  <si>
    <t>Descripción del componente afectado</t>
  </si>
  <si>
    <t>Porcentaje</t>
  </si>
  <si>
    <t>Subtotal</t>
  </si>
  <si>
    <t>Total</t>
  </si>
  <si>
    <t>Días</t>
  </si>
  <si>
    <t>Horas</t>
  </si>
  <si>
    <t>Valoración:</t>
  </si>
  <si>
    <t>Incremento por impacto modelo de datos</t>
  </si>
  <si>
    <t>Sí/No</t>
  </si>
  <si>
    <t>%</t>
  </si>
  <si>
    <t>Factor corrector complejidad pruebas y análisis</t>
  </si>
  <si>
    <t>Gestión, seguimiento y control</t>
  </si>
  <si>
    <t>ÁMBITO</t>
  </si>
  <si>
    <t>Descripción del Cambio:</t>
  </si>
  <si>
    <t>Identificador del Cambio:</t>
  </si>
  <si>
    <t>Valoración Cambio Alcance</t>
  </si>
  <si>
    <t>CAPA</t>
  </si>
  <si>
    <t>DT</t>
  </si>
  <si>
    <t>CT</t>
  </si>
  <si>
    <t>TAREA</t>
  </si>
  <si>
    <t>Nº</t>
  </si>
  <si>
    <t>CONCAT</t>
  </si>
  <si>
    <t>Componente</t>
  </si>
  <si>
    <t>UTES</t>
  </si>
  <si>
    <t>FACTOR:</t>
  </si>
  <si>
    <t>MD</t>
  </si>
  <si>
    <t>Análisis</t>
  </si>
  <si>
    <t>Insertar nuevas líneas por encima de aquí (copiando y pegando de una en una) ...</t>
  </si>
  <si>
    <t>Core</t>
  </si>
  <si>
    <t>Frontal</t>
  </si>
  <si>
    <t>General</t>
  </si>
  <si>
    <t>Nuevo</t>
  </si>
  <si>
    <t>Modificación</t>
  </si>
  <si>
    <t>Alta</t>
  </si>
  <si>
    <t>Media</t>
  </si>
  <si>
    <t>Baja</t>
  </si>
  <si>
    <t>DTCore</t>
  </si>
  <si>
    <t>DTFrontal</t>
  </si>
  <si>
    <t>DTGeneral</t>
  </si>
  <si>
    <t>CTCore</t>
  </si>
  <si>
    <t>CTFrontal</t>
  </si>
  <si>
    <t>CTGeneral</t>
  </si>
  <si>
    <t>Documentación tarea</t>
  </si>
  <si>
    <t>Documentar la interfaz. No incluye los DTO, CEDO ni los diagramas de secuencia</t>
  </si>
  <si>
    <t>Toda la documentación de cada una de las operaciones: DTO, CEDO, diagramas de secuencia… La dificultad de la operación vendrá dada por el número de campos y por el número de operaciones del CON y EAO que se llame</t>
  </si>
  <si>
    <t>Realizar el diagrama de componentes de Core. La dificultad vendrá determinada por la cantidad de componentes</t>
  </si>
  <si>
    <t>Pruebas Integradas</t>
  </si>
  <si>
    <t>Servicio</t>
  </si>
  <si>
    <t>DAO</t>
  </si>
  <si>
    <t>JS</t>
  </si>
  <si>
    <t>Controlador</t>
  </si>
  <si>
    <t>HTML</t>
  </si>
  <si>
    <t>DTO</t>
  </si>
  <si>
    <t>Documentar Api</t>
  </si>
  <si>
    <t>Valoración (h)</t>
  </si>
  <si>
    <t>BO</t>
  </si>
  <si>
    <t>JASPER</t>
  </si>
  <si>
    <t>POI</t>
  </si>
  <si>
    <t>Modificación / Modif.</t>
  </si>
  <si>
    <t>JUNIT</t>
  </si>
  <si>
    <t>CE</t>
  </si>
  <si>
    <t>Diseño Tecnico</t>
  </si>
  <si>
    <t>Modelo Datos</t>
  </si>
  <si>
    <t>Cambiar modelo datos</t>
  </si>
  <si>
    <t>Analisis y planificacion  de modificaciones de la tarea</t>
  </si>
  <si>
    <t>Construcion</t>
  </si>
  <si>
    <t>Configuracion entorno</t>
  </si>
  <si>
    <t>Leyenda</t>
  </si>
  <si>
    <t>Configuracion Entorno</t>
  </si>
  <si>
    <t>Documentacion Funcional Pantalla</t>
  </si>
  <si>
    <t>Documentacion Funcional Servicio</t>
  </si>
  <si>
    <t>Documentacion Funcional Batch</t>
  </si>
  <si>
    <t>Analisis Funcional</t>
  </si>
  <si>
    <t>Documentar</t>
  </si>
  <si>
    <t>Analizar</t>
  </si>
  <si>
    <t>Analizar Api</t>
  </si>
  <si>
    <t>JUNIT Api</t>
  </si>
  <si>
    <t>JUNIT Controller</t>
  </si>
  <si>
    <t>JUNIT JS</t>
  </si>
  <si>
    <t>MDDAO</t>
  </si>
  <si>
    <t>Toma Requerimientos</t>
  </si>
  <si>
    <t>Espera Implementacion</t>
  </si>
  <si>
    <t>--------------------------------------------------------- Desarrollo SOLTEC ---------------------------------------------------------</t>
  </si>
  <si>
    <t>CEGeneral</t>
  </si>
  <si>
    <t>Documentacion codigo</t>
  </si>
  <si>
    <t>Refactor codigo</t>
  </si>
  <si>
    <t>Documentacion Funcional API</t>
  </si>
  <si>
    <t>Servicio API</t>
  </si>
  <si>
    <t>Operar Base Datos</t>
  </si>
  <si>
    <t>Ambito</t>
  </si>
  <si>
    <t>Capas</t>
  </si>
  <si>
    <t>Operaciones</t>
  </si>
  <si>
    <t xml:space="preserve">estimaciones </t>
  </si>
  <si>
    <t>Analisis Codigo Anterior</t>
  </si>
  <si>
    <t>Documentacion codigo (Javadoc)</t>
  </si>
  <si>
    <t>No</t>
  </si>
  <si>
    <t>Horas (h)</t>
  </si>
  <si>
    <t>ÁMBITO      (sólo CT)</t>
  </si>
  <si>
    <t>PREMISAS / OBSERVACIONES (Opcional:  por ejemplo,  hacer constancia aquí de los aspectos o razones por la cual aplicar el factor corrector de complejidad)</t>
  </si>
  <si>
    <t>Documentación</t>
  </si>
  <si>
    <t>Pruebas Unitarias (MDOne)</t>
  </si>
  <si>
    <t>Trivial</t>
  </si>
  <si>
    <t>API REST</t>
  </si>
  <si>
    <t>API SOAP</t>
  </si>
  <si>
    <t>DTAPI_SOAP</t>
  </si>
  <si>
    <t>DTAPI_REST</t>
  </si>
  <si>
    <t>CTAPI_REST</t>
  </si>
  <si>
    <t>CTAPI_SOAP</t>
  </si>
  <si>
    <t>API_REST</t>
  </si>
  <si>
    <t>API_SOAP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</si>
</sst>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rgb="FFBD2534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rgb="FFBD2534"/>
      </left>
      <right style="thin">
        <color rgb="FFBD2534"/>
      </right>
      <top style="thin">
        <color rgb="FFBD2534"/>
      </top>
      <bottom style="thin">
        <color rgb="FFBD2534"/>
      </bottom>
      <diagonal/>
    </border>
    <border>
      <left style="thin">
        <color rgb="FFBD2534"/>
      </left>
      <right/>
      <top style="thin">
        <color rgb="FFBD2534"/>
      </top>
      <bottom/>
      <diagonal/>
    </border>
    <border>
      <left/>
      <right/>
      <top style="thin">
        <color rgb="FFBD2534"/>
      </top>
      <bottom/>
      <diagonal/>
    </border>
    <border>
      <left/>
      <right style="thin">
        <color rgb="FFBD2534"/>
      </right>
      <top style="thin">
        <color rgb="FFBD2534"/>
      </top>
      <bottom/>
      <diagonal/>
    </border>
    <border>
      <left style="thin">
        <color rgb="FFBD2534"/>
      </left>
      <right/>
      <top/>
      <bottom/>
      <diagonal/>
    </border>
    <border>
      <left/>
      <right style="thin">
        <color rgb="FFBD2534"/>
      </right>
      <top/>
      <bottom/>
      <diagonal/>
    </border>
    <border>
      <left style="thin">
        <color rgb="FFBD2534"/>
      </left>
      <right/>
      <top/>
      <bottom style="thin">
        <color rgb="FFBD2534"/>
      </bottom>
      <diagonal/>
    </border>
    <border>
      <left/>
      <right/>
      <top/>
      <bottom style="thin">
        <color rgb="FFBD2534"/>
      </bottom>
      <diagonal/>
    </border>
    <border>
      <left/>
      <right style="thin">
        <color rgb="FFBD2534"/>
      </right>
      <top/>
      <bottom style="thin">
        <color rgb="FFBD253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2534"/>
      </left>
      <right/>
      <top style="thin">
        <color rgb="FFBD2534"/>
      </top>
      <bottom style="thin">
        <color rgb="FFBD2534"/>
      </bottom>
      <diagonal/>
    </border>
    <border>
      <left style="thin">
        <color rgb="FFBD2534"/>
      </left>
      <right style="thin">
        <color rgb="FFBD2534"/>
      </right>
      <top/>
      <bottom style="thin">
        <color rgb="FFBD253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D2534"/>
      </top>
      <bottom style="thin">
        <color rgb="FFBD253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BD2534"/>
      </top>
      <bottom style="thin">
        <color rgb="FFBD2534"/>
      </bottom>
      <diagonal/>
    </border>
    <border>
      <left style="thin">
        <color rgb="FFBD253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BD2534"/>
      </right>
      <top style="thin">
        <color indexed="64"/>
      </top>
      <bottom style="thin">
        <color indexed="64"/>
      </bottom>
      <diagonal/>
    </border>
    <border>
      <left style="thin">
        <color rgb="FFBD2534"/>
      </left>
      <right style="thin">
        <color rgb="FFBD253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D2534"/>
      </right>
      <top style="thin">
        <color rgb="FFBD2534"/>
      </top>
      <bottom style="thin">
        <color rgb="FFBD2534"/>
      </bottom>
      <diagonal/>
    </border>
    <border>
      <left style="thin">
        <color rgb="FFBD2534"/>
      </left>
      <right style="thin">
        <color indexed="64"/>
      </right>
      <top style="thin">
        <color rgb="FFBD2534"/>
      </top>
      <bottom style="thin">
        <color rgb="FFBD253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4" borderId="0" xfId="0" applyFill="1" applyBorder="1"/>
    <xf numFmtId="0" fontId="4" fillId="4" borderId="0" xfId="0" applyFont="1" applyFill="1" applyBorder="1"/>
    <xf numFmtId="0" fontId="0" fillId="4" borderId="0" xfId="0" applyFill="1" applyBorder="1" applyAlignment="1">
      <alignment horizontal="center" vertical="top"/>
    </xf>
    <xf numFmtId="0" fontId="0" fillId="4" borderId="0" xfId="0" applyFill="1" applyAlignment="1">
      <alignment vertical="top"/>
    </xf>
    <xf numFmtId="0" fontId="4" fillId="4" borderId="0" xfId="0" applyFont="1" applyFill="1" applyBorder="1" applyAlignment="1">
      <alignment horizontal="right"/>
    </xf>
    <xf numFmtId="0" fontId="4" fillId="4" borderId="0" xfId="0" applyFont="1" applyFill="1"/>
    <xf numFmtId="164" fontId="4" fillId="4" borderId="0" xfId="1" applyFont="1" applyFill="1" applyBorder="1"/>
    <xf numFmtId="0" fontId="2" fillId="4" borderId="0" xfId="2" applyFont="1" applyFill="1" applyBorder="1" applyAlignment="1">
      <alignment horizontal="center" vertical="top"/>
    </xf>
    <xf numFmtId="0" fontId="0" fillId="4" borderId="0" xfId="0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Border="1" applyAlignment="1"/>
    <xf numFmtId="0" fontId="4" fillId="4" borderId="0" xfId="0" applyFont="1" applyFill="1" applyBorder="1" applyAlignment="1">
      <alignment horizontal="left"/>
    </xf>
    <xf numFmtId="164" fontId="4" fillId="4" borderId="0" xfId="1" applyFont="1" applyFill="1" applyBorder="1" applyAlignment="1">
      <alignment horizontal="left"/>
    </xf>
    <xf numFmtId="164" fontId="0" fillId="4" borderId="0" xfId="0" applyNumberFormat="1" applyFill="1"/>
    <xf numFmtId="0" fontId="6" fillId="4" borderId="0" xfId="0" applyFont="1" applyFill="1" applyBorder="1"/>
    <xf numFmtId="0" fontId="6" fillId="4" borderId="0" xfId="0" applyFont="1" applyFill="1" applyBorder="1" applyAlignment="1">
      <alignment horizontal="left"/>
    </xf>
    <xf numFmtId="164" fontId="6" fillId="4" borderId="0" xfId="1" applyFont="1" applyFill="1" applyBorder="1" applyAlignment="1">
      <alignment horizontal="left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164" fontId="6" fillId="4" borderId="1" xfId="1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4" fillId="4" borderId="8" xfId="0" applyFont="1" applyFill="1" applyBorder="1"/>
    <xf numFmtId="0" fontId="0" fillId="4" borderId="9" xfId="0" applyFill="1" applyBorder="1"/>
    <xf numFmtId="0" fontId="2" fillId="4" borderId="5" xfId="2" applyFont="1" applyFill="1" applyBorder="1" applyAlignment="1"/>
    <xf numFmtId="0" fontId="2" fillId="4" borderId="6" xfId="2" applyFont="1" applyFill="1" applyBorder="1"/>
    <xf numFmtId="0" fontId="0" fillId="4" borderId="1" xfId="0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165" fontId="0" fillId="4" borderId="0" xfId="0" applyNumberFormat="1" applyFill="1" applyAlignment="1">
      <alignment horizontal="center" vertical="top"/>
    </xf>
    <xf numFmtId="164" fontId="6" fillId="4" borderId="1" xfId="1" applyNumberFormat="1" applyFont="1" applyFill="1" applyBorder="1"/>
    <xf numFmtId="0" fontId="5" fillId="4" borderId="0" xfId="2" applyFont="1" applyFill="1" applyBorder="1" applyAlignment="1">
      <alignment horizontal="left" vertical="top" wrapText="1"/>
    </xf>
    <xf numFmtId="164" fontId="0" fillId="4" borderId="0" xfId="0" applyNumberFormat="1" applyFill="1" applyAlignment="1">
      <alignment horizontal="center" vertical="top"/>
    </xf>
    <xf numFmtId="9" fontId="0" fillId="5" borderId="14" xfId="3" applyNumberFormat="1" applyFont="1" applyFill="1" applyBorder="1" applyAlignment="1">
      <alignment horizontal="center"/>
    </xf>
    <xf numFmtId="0" fontId="5" fillId="4" borderId="0" xfId="2" applyFont="1" applyFill="1" applyBorder="1" applyAlignment="1">
      <alignment horizontal="left" vertical="top" wrapText="1"/>
    </xf>
    <xf numFmtId="0" fontId="9" fillId="4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horizontal="center"/>
    </xf>
    <xf numFmtId="0" fontId="11" fillId="4" borderId="0" xfId="0" applyFont="1" applyFill="1"/>
    <xf numFmtId="0" fontId="0" fillId="4" borderId="0" xfId="0" applyFill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wrapText="1"/>
    </xf>
    <xf numFmtId="0" fontId="0" fillId="4" borderId="0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0" xfId="0" applyFill="1" applyBorder="1" applyAlignment="1">
      <alignment horizontal="center" wrapText="1"/>
    </xf>
    <xf numFmtId="0" fontId="4" fillId="4" borderId="0" xfId="0" applyFont="1" applyFill="1" applyBorder="1" applyAlignment="1">
      <alignment horizontal="right" wrapText="1"/>
    </xf>
    <xf numFmtId="0" fontId="9" fillId="4" borderId="0" xfId="0" applyFont="1" applyFill="1" applyAlignment="1">
      <alignment wrapText="1"/>
    </xf>
    <xf numFmtId="0" fontId="0" fillId="5" borderId="11" xfId="3" applyFont="1" applyFill="1" applyBorder="1" applyAlignment="1">
      <alignment horizontal="left" wrapText="1"/>
    </xf>
    <xf numFmtId="0" fontId="0" fillId="5" borderId="11" xfId="3" applyFont="1" applyFill="1" applyBorder="1" applyAlignment="1">
      <alignment horizontal="left"/>
    </xf>
    <xf numFmtId="0" fontId="0" fillId="4" borderId="12" xfId="0" applyFill="1" applyBorder="1" applyAlignment="1">
      <alignment horizontal="center" vertical="top"/>
    </xf>
    <xf numFmtId="0" fontId="0" fillId="4" borderId="12" xfId="0" applyFill="1" applyBorder="1" applyAlignment="1">
      <alignment horizontal="left" vertical="top"/>
    </xf>
    <xf numFmtId="0" fontId="5" fillId="4" borderId="0" xfId="2" applyFont="1" applyFill="1" applyBorder="1" applyAlignment="1">
      <alignment horizontal="left" vertical="top" wrapText="1"/>
    </xf>
    <xf numFmtId="14" fontId="0" fillId="5" borderId="1" xfId="3" applyNumberFormat="1" applyFont="1" applyFill="1" applyBorder="1" applyAlignment="1">
      <alignment horizontal="left" wrapText="1"/>
    </xf>
    <xf numFmtId="0" fontId="2" fillId="6" borderId="10" xfId="2" applyFont="1" applyFill="1" applyBorder="1" applyAlignment="1">
      <alignment horizontal="center" vertical="center"/>
    </xf>
    <xf numFmtId="0" fontId="2" fillId="6" borderId="10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left" vertical="center"/>
    </xf>
    <xf numFmtId="0" fontId="2" fillId="6" borderId="22" xfId="2" applyFont="1" applyFill="1" applyBorder="1" applyAlignment="1">
      <alignment horizontal="center" vertical="center"/>
    </xf>
    <xf numFmtId="164" fontId="3" fillId="6" borderId="10" xfId="2" applyNumberFormat="1" applyFill="1" applyBorder="1"/>
    <xf numFmtId="0" fontId="2" fillId="6" borderId="10" xfId="2" quotePrefix="1" applyFont="1" applyFill="1" applyBorder="1" applyAlignment="1"/>
    <xf numFmtId="0" fontId="2" fillId="6" borderId="0" xfId="2" applyFont="1" applyFill="1" applyBorder="1" applyAlignment="1">
      <alignment horizontal="center" vertical="center"/>
    </xf>
    <xf numFmtId="9" fontId="3" fillId="6" borderId="16" xfId="3" applyNumberFormat="1" applyFont="1" applyFill="1" applyBorder="1" applyAlignment="1">
      <alignment horizontal="center"/>
    </xf>
    <xf numFmtId="0" fontId="2" fillId="6" borderId="16" xfId="2" applyFont="1" applyFill="1" applyBorder="1" applyAlignment="1">
      <alignment horizontal="center"/>
    </xf>
    <xf numFmtId="164" fontId="3" fillId="6" borderId="1" xfId="2" applyNumberFormat="1" applyFill="1" applyBorder="1"/>
    <xf numFmtId="0" fontId="2" fillId="6" borderId="1" xfId="2" applyFont="1" applyFill="1" applyBorder="1" applyAlignment="1">
      <alignment horizontal="center" vertical="top"/>
    </xf>
    <xf numFmtId="164" fontId="2" fillId="6" borderId="1" xfId="2" applyNumberFormat="1" applyFont="1" applyFill="1" applyBorder="1"/>
    <xf numFmtId="0" fontId="0" fillId="4" borderId="10" xfId="0" applyFill="1" applyBorder="1" applyAlignment="1">
      <alignment horizontal="left" vertical="top"/>
    </xf>
    <xf numFmtId="0" fontId="0" fillId="0" borderId="10" xfId="0" applyBorder="1"/>
    <xf numFmtId="0" fontId="0" fillId="4" borderId="23" xfId="0" applyFill="1" applyBorder="1" applyAlignment="1">
      <alignment horizontal="left" vertical="top"/>
    </xf>
    <xf numFmtId="0" fontId="0" fillId="4" borderId="23" xfId="0" applyFont="1" applyFill="1" applyBorder="1" applyAlignment="1">
      <alignment horizontal="left" vertical="top"/>
    </xf>
    <xf numFmtId="0" fontId="0" fillId="4" borderId="10" xfId="0" applyFont="1" applyFill="1" applyBorder="1" applyAlignment="1">
      <alignment horizontal="left" vertical="top"/>
    </xf>
    <xf numFmtId="0" fontId="0" fillId="4" borderId="10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4" fontId="13" fillId="4" borderId="0" xfId="0" applyNumberFormat="1" applyFont="1" applyFill="1" applyBorder="1" applyAlignment="1">
      <alignment horizontal="right"/>
    </xf>
    <xf numFmtId="0" fontId="12" fillId="7" borderId="10" xfId="0" applyFont="1" applyFill="1" applyBorder="1" applyAlignment="1">
      <alignment horizontal="left" vertical="top"/>
    </xf>
    <xf numFmtId="0" fontId="12" fillId="7" borderId="23" xfId="0" applyFont="1" applyFill="1" applyBorder="1" applyAlignment="1">
      <alignment horizontal="left" vertical="top"/>
    </xf>
    <xf numFmtId="0" fontId="0" fillId="4" borderId="24" xfId="0" applyFill="1" applyBorder="1" applyAlignment="1">
      <alignment horizontal="left" vertical="top"/>
    </xf>
    <xf numFmtId="0" fontId="0" fillId="4" borderId="25" xfId="0" applyFill="1" applyBorder="1" applyAlignment="1">
      <alignment horizontal="left" vertical="top"/>
    </xf>
    <xf numFmtId="0" fontId="12" fillId="7" borderId="25" xfId="0" applyFont="1" applyFill="1" applyBorder="1" applyAlignment="1">
      <alignment horizontal="left" vertical="top"/>
    </xf>
    <xf numFmtId="0" fontId="3" fillId="6" borderId="0" xfId="0" applyFont="1" applyFill="1" applyAlignment="1">
      <alignment horizontal="center"/>
    </xf>
    <xf numFmtId="0" fontId="3" fillId="6" borderId="0" xfId="2" applyFont="1" applyFill="1" applyBorder="1" applyAlignment="1">
      <alignment horizontal="center" vertical="top" wrapText="1"/>
    </xf>
    <xf numFmtId="0" fontId="0" fillId="4" borderId="10" xfId="0" applyFill="1" applyBorder="1" applyAlignment="1">
      <alignment wrapText="1"/>
    </xf>
    <xf numFmtId="0" fontId="3" fillId="6" borderId="0" xfId="0" applyFont="1" applyFill="1" applyAlignment="1">
      <alignment wrapText="1"/>
    </xf>
    <xf numFmtId="0" fontId="0" fillId="8" borderId="10" xfId="0" applyFill="1" applyBorder="1" applyAlignment="1">
      <alignment horizontal="center" vertical="top"/>
    </xf>
    <xf numFmtId="0" fontId="0" fillId="8" borderId="10" xfId="0" applyFill="1" applyBorder="1" applyAlignment="1">
      <alignment horizontal="left" vertical="top"/>
    </xf>
    <xf numFmtId="0" fontId="0" fillId="9" borderId="10" xfId="0" applyFill="1" applyBorder="1" applyAlignment="1">
      <alignment horizontal="center" vertical="top"/>
    </xf>
    <xf numFmtId="0" fontId="0" fillId="9" borderId="10" xfId="0" applyFill="1" applyBorder="1" applyAlignment="1">
      <alignment horizontal="left" vertical="top"/>
    </xf>
    <xf numFmtId="0" fontId="0" fillId="0" borderId="10" xfId="0" applyFill="1" applyBorder="1" applyAlignment="1">
      <alignment horizontal="center" vertical="top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0" fontId="2" fillId="6" borderId="16" xfId="2" applyFont="1" applyFill="1" applyBorder="1" applyAlignment="1">
      <alignment horizontal="center"/>
    </xf>
    <xf numFmtId="0" fontId="0" fillId="5" borderId="20" xfId="3" applyFont="1" applyFill="1" applyBorder="1" applyAlignment="1">
      <alignment horizontal="left"/>
    </xf>
    <xf numFmtId="0" fontId="0" fillId="5" borderId="15" xfId="3" applyFont="1" applyFill="1" applyBorder="1" applyAlignment="1">
      <alignment horizontal="left"/>
    </xf>
    <xf numFmtId="0" fontId="0" fillId="5" borderId="21" xfId="3" applyFont="1" applyFill="1" applyBorder="1" applyAlignment="1">
      <alignment horizontal="left"/>
    </xf>
    <xf numFmtId="9" fontId="3" fillId="6" borderId="16" xfId="7" applyFont="1" applyFill="1" applyBorder="1" applyAlignment="1">
      <alignment horizontal="center"/>
    </xf>
    <xf numFmtId="2" fontId="3" fillId="6" borderId="16" xfId="3" applyNumberFormat="1" applyFont="1" applyFill="1" applyBorder="1" applyAlignment="1">
      <alignment horizontal="center"/>
    </xf>
    <xf numFmtId="0" fontId="5" fillId="4" borderId="0" xfId="2" applyFont="1" applyFill="1" applyBorder="1" applyAlignment="1">
      <alignment vertical="top" wrapText="1"/>
    </xf>
    <xf numFmtId="0" fontId="0" fillId="0" borderId="25" xfId="0" applyBorder="1"/>
    <xf numFmtId="0" fontId="0" fillId="4" borderId="1" xfId="0" applyFill="1" applyBorder="1" applyAlignment="1">
      <alignment horizontal="left" vertical="top"/>
    </xf>
    <xf numFmtId="0" fontId="0" fillId="4" borderId="27" xfId="0" applyFill="1" applyBorder="1" applyAlignment="1">
      <alignment horizontal="left" vertical="top"/>
    </xf>
    <xf numFmtId="0" fontId="0" fillId="0" borderId="1" xfId="0" applyBorder="1"/>
    <xf numFmtId="0" fontId="0" fillId="0" borderId="27" xfId="0" applyBorder="1"/>
    <xf numFmtId="0" fontId="2" fillId="6" borderId="0" xfId="2" applyFont="1" applyFill="1" applyBorder="1" applyAlignment="1" applyProtection="1">
      <alignment horizontal="center"/>
    </xf>
    <xf numFmtId="0" fontId="2" fillId="6" borderId="17" xfId="2" applyFont="1" applyFill="1" applyBorder="1" applyAlignment="1">
      <alignment horizontal="center" vertical="center" wrapText="1"/>
    </xf>
    <xf numFmtId="0" fontId="2" fillId="6" borderId="15" xfId="2" applyFont="1" applyFill="1" applyBorder="1" applyAlignment="1">
      <alignment horizontal="center" vertical="center" wrapText="1"/>
    </xf>
    <xf numFmtId="0" fontId="2" fillId="6" borderId="13" xfId="2" applyFont="1" applyFill="1" applyBorder="1" applyAlignment="1">
      <alignment horizontal="center" vertical="center" wrapText="1"/>
    </xf>
    <xf numFmtId="0" fontId="0" fillId="5" borderId="11" xfId="3" quotePrefix="1" applyFont="1" applyFill="1" applyBorder="1" applyAlignment="1">
      <alignment horizontal="left"/>
    </xf>
    <xf numFmtId="0" fontId="0" fillId="5" borderId="14" xfId="3" quotePrefix="1" applyFont="1" applyFill="1" applyBorder="1" applyAlignment="1">
      <alignment horizontal="left"/>
    </xf>
    <xf numFmtId="0" fontId="0" fillId="5" borderId="19" xfId="3" quotePrefix="1" applyFont="1" applyFill="1" applyBorder="1" applyAlignment="1">
      <alignment horizontal="left"/>
    </xf>
    <xf numFmtId="0" fontId="2" fillId="6" borderId="1" xfId="2" applyFont="1" applyFill="1" applyBorder="1" applyAlignment="1">
      <alignment horizontal="right"/>
    </xf>
    <xf numFmtId="164" fontId="6" fillId="4" borderId="1" xfId="1" applyFont="1" applyFill="1" applyBorder="1" applyAlignment="1">
      <alignment horizontal="left"/>
    </xf>
    <xf numFmtId="0" fontId="2" fillId="6" borderId="16" xfId="2" applyFont="1" applyFill="1" applyBorder="1" applyAlignment="1">
      <alignment horizontal="center"/>
    </xf>
    <xf numFmtId="0" fontId="2" fillId="6" borderId="16" xfId="2" applyFont="1" applyFill="1" applyBorder="1" applyAlignment="1">
      <alignment horizontal="center" vertical="center"/>
    </xf>
    <xf numFmtId="0" fontId="14" fillId="4" borderId="0" xfId="2" applyFont="1" applyFill="1" applyBorder="1" applyAlignment="1">
      <alignment horizontal="left" vertical="top" wrapText="1"/>
    </xf>
    <xf numFmtId="0" fontId="2" fillId="6" borderId="10" xfId="2" applyFont="1" applyFill="1" applyBorder="1" applyAlignment="1">
      <alignment horizontal="right"/>
    </xf>
    <xf numFmtId="0" fontId="2" fillId="6" borderId="18" xfId="2" quotePrefix="1" applyFont="1" applyFill="1" applyBorder="1" applyAlignment="1">
      <alignment horizontal="center"/>
    </xf>
    <xf numFmtId="0" fontId="2" fillId="6" borderId="0" xfId="2" quotePrefix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9" fontId="2" fillId="6" borderId="11" xfId="2" applyNumberFormat="1" applyFont="1" applyFill="1" applyBorder="1" applyAlignment="1">
      <alignment horizontal="right"/>
    </xf>
    <xf numFmtId="9" fontId="2" fillId="6" borderId="14" xfId="2" applyNumberFormat="1" applyFont="1" applyFill="1" applyBorder="1" applyAlignment="1">
      <alignment horizontal="right"/>
    </xf>
    <xf numFmtId="9" fontId="2" fillId="6" borderId="26" xfId="2" applyNumberFormat="1" applyFont="1" applyFill="1" applyBorder="1" applyAlignment="1">
      <alignment horizontal="right"/>
    </xf>
    <xf numFmtId="0" fontId="2" fillId="6" borderId="17" xfId="2" applyFont="1" applyFill="1" applyBorder="1" applyAlignment="1">
      <alignment horizontal="center" vertical="top"/>
    </xf>
    <xf numFmtId="0" fontId="2" fillId="6" borderId="15" xfId="2" applyFont="1" applyFill="1" applyBorder="1" applyAlignment="1">
      <alignment horizontal="center" vertical="top"/>
    </xf>
    <xf numFmtId="0" fontId="2" fillId="6" borderId="13" xfId="2" applyFont="1" applyFill="1" applyBorder="1" applyAlignment="1">
      <alignment horizontal="center" vertical="top"/>
    </xf>
  </cellXfs>
  <cellStyles count="8">
    <cellStyle name="20% - Énfasis3" xfId="3" builtinId="38"/>
    <cellStyle name="Énfasis3" xfId="2" builtinId="37"/>
    <cellStyle name="Millares" xfId="1" builtinId="3"/>
    <cellStyle name="Millares 2" xfId="5" xr:uid="{00000000-0005-0000-0000-000003000000}"/>
    <cellStyle name="Normal" xfId="0" builtinId="0"/>
    <cellStyle name="Normal 2" xfId="4" xr:uid="{00000000-0005-0000-0000-000005000000}"/>
    <cellStyle name="Porcentaje" xfId="7" builtinId="5"/>
    <cellStyle name="Porcentaje 2" xfId="6" xr:uid="{00000000-0005-0000-0000-000007000000}"/>
  </cellStyles>
  <dxfs count="0"/>
  <tableStyles count="1" defaultTableStyle="TableStyleMedium9" defaultPivotStyle="PivotStyleLight16">
    <tableStyle name="Estilo de tabla dinámica 1" table="0" count="0" xr9:uid="{00000000-0011-0000-FFFF-FFFF00000000}"/>
  </tableStyles>
  <colors>
    <mruColors>
      <color rgb="FFBD2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56"/>
  <sheetViews>
    <sheetView tabSelected="1" zoomScale="70" zoomScaleNormal="70" workbookViewId="0">
      <selection activeCell="M21" sqref="M21"/>
    </sheetView>
  </sheetViews>
  <sheetFormatPr baseColWidth="10" defaultColWidth="11.42578125" defaultRowHeight="15" x14ac:dyDescent="0.25"/>
  <cols>
    <col min="1" max="1" width="3.28515625" style="1" customWidth="1"/>
    <col min="2" max="2" width="5.42578125" style="1" customWidth="1"/>
    <col min="3" max="3" width="49.42578125" style="1" customWidth="1"/>
    <col min="4" max="4" width="23.7109375" style="53" bestFit="1" customWidth="1"/>
    <col min="5" max="5" width="12" style="53" bestFit="1" customWidth="1"/>
    <col min="6" max="6" width="11.42578125" style="53"/>
    <col min="7" max="7" width="25.7109375" style="53" customWidth="1"/>
    <col min="8" max="8" width="7.7109375" style="1" customWidth="1"/>
    <col min="9" max="9" width="16.5703125" style="1" customWidth="1"/>
    <col min="10" max="10" width="16.85546875" style="1" customWidth="1"/>
    <col min="11" max="11" width="17.140625" style="13" customWidth="1"/>
    <col min="12" max="12" width="40.5703125" style="13" customWidth="1"/>
    <col min="13" max="13" width="15.28515625" style="13" customWidth="1"/>
    <col min="14" max="14" width="11.42578125" style="8" customWidth="1"/>
    <col min="15" max="15" width="14" style="8" hidden="1" customWidth="1"/>
    <col min="16" max="16" width="15" style="8" customWidth="1"/>
    <col min="17" max="17" width="3.28515625" style="1" customWidth="1"/>
    <col min="18" max="18" width="26.140625" style="1" hidden="1" customWidth="1"/>
    <col min="19" max="21" width="11.42578125" style="1"/>
    <col min="22" max="22" width="11.42578125" style="13" customWidth="1"/>
    <col min="23" max="23" width="12.42578125" style="1" customWidth="1"/>
    <col min="24" max="25" width="13.85546875" style="1" customWidth="1"/>
    <col min="26" max="27" width="11.42578125" style="1" customWidth="1"/>
    <col min="28" max="16384" width="11.42578125" style="1"/>
  </cols>
  <sheetData>
    <row r="2" spans="2:27" x14ac:dyDescent="0.25">
      <c r="B2" s="122" t="s">
        <v>19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" t="s">
        <v>96</v>
      </c>
      <c r="V2" s="5"/>
      <c r="W2" s="6"/>
    </row>
    <row r="3" spans="2:27" x14ac:dyDescent="0.25">
      <c r="V3" s="5"/>
      <c r="X3" s="6"/>
      <c r="Y3" s="6"/>
      <c r="Z3" s="6"/>
    </row>
    <row r="4" spans="2:27" ht="21.75" customHeight="1" x14ac:dyDescent="0.25">
      <c r="B4" s="21"/>
      <c r="C4" s="22"/>
      <c r="D4" s="54"/>
      <c r="E4" s="54"/>
      <c r="F4" s="54"/>
      <c r="G4" s="54"/>
      <c r="H4" s="22"/>
      <c r="I4" s="22"/>
      <c r="J4" s="22"/>
      <c r="K4" s="23"/>
      <c r="L4" s="23"/>
      <c r="M4" s="23"/>
      <c r="N4" s="22"/>
      <c r="O4" s="22"/>
      <c r="P4" s="22"/>
      <c r="Q4" s="24"/>
      <c r="V4" s="5"/>
    </row>
    <row r="5" spans="2:27" x14ac:dyDescent="0.25">
      <c r="B5" s="25"/>
      <c r="C5" s="18" t="s">
        <v>17</v>
      </c>
      <c r="D5" s="55"/>
      <c r="E5" s="126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8"/>
      <c r="Q5" s="26"/>
      <c r="V5" s="5"/>
      <c r="Z5" s="6"/>
      <c r="AA5" s="6"/>
    </row>
    <row r="6" spans="2:27" ht="4.5" customHeight="1" x14ac:dyDescent="0.25">
      <c r="B6" s="25"/>
      <c r="C6" s="4"/>
      <c r="D6" s="55"/>
      <c r="E6" s="55"/>
      <c r="F6" s="55"/>
      <c r="G6" s="55"/>
      <c r="H6" s="4"/>
      <c r="I6" s="4"/>
      <c r="J6" s="4"/>
      <c r="K6" s="12"/>
      <c r="L6" s="12"/>
      <c r="M6" s="12"/>
      <c r="N6" s="4"/>
      <c r="O6" s="4"/>
      <c r="P6" s="4"/>
      <c r="Q6" s="26"/>
    </row>
    <row r="7" spans="2:27" x14ac:dyDescent="0.25">
      <c r="B7" s="25"/>
      <c r="C7" s="18" t="s">
        <v>18</v>
      </c>
      <c r="D7" s="55"/>
      <c r="E7" s="126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8"/>
      <c r="Q7" s="26"/>
    </row>
    <row r="8" spans="2:27" ht="5.25" customHeight="1" x14ac:dyDescent="0.25">
      <c r="B8" s="25"/>
      <c r="C8" s="4"/>
      <c r="D8" s="55"/>
      <c r="E8" s="56"/>
      <c r="F8" s="56"/>
      <c r="G8" s="56"/>
      <c r="H8" s="15"/>
      <c r="I8" s="15"/>
      <c r="J8" s="15"/>
      <c r="K8" s="15"/>
      <c r="L8" s="15"/>
      <c r="M8" s="15"/>
      <c r="N8" s="15"/>
      <c r="O8" s="15"/>
      <c r="P8" s="15"/>
      <c r="Q8" s="26"/>
    </row>
    <row r="9" spans="2:27" x14ac:dyDescent="0.25">
      <c r="B9" s="25"/>
      <c r="C9" s="18" t="s">
        <v>3</v>
      </c>
      <c r="D9" s="55"/>
      <c r="E9" s="68">
        <v>43831</v>
      </c>
      <c r="F9" s="56"/>
      <c r="G9" s="56"/>
      <c r="H9" s="15"/>
      <c r="I9" s="15"/>
      <c r="J9" s="15"/>
      <c r="K9" s="15"/>
      <c r="L9" s="19" t="s">
        <v>10</v>
      </c>
      <c r="M9" s="130">
        <f ca="1">ROUNDUP(P27+P40,0)</f>
        <v>7</v>
      </c>
      <c r="N9" s="130"/>
      <c r="P9" s="20" t="s">
        <v>27</v>
      </c>
      <c r="Q9" s="26"/>
    </row>
    <row r="10" spans="2:27" ht="6.75" customHeight="1" x14ac:dyDescent="0.25">
      <c r="B10" s="25"/>
      <c r="C10" s="4"/>
      <c r="D10" s="55"/>
      <c r="E10" s="55"/>
      <c r="F10" s="56"/>
      <c r="G10" s="56"/>
      <c r="H10" s="15"/>
      <c r="I10" s="4"/>
      <c r="J10" s="15"/>
      <c r="K10" s="15"/>
      <c r="L10" s="15"/>
      <c r="M10" s="4"/>
      <c r="N10" s="4"/>
      <c r="O10" s="16"/>
      <c r="P10" s="16"/>
      <c r="Q10" s="26"/>
    </row>
    <row r="11" spans="2:27" ht="3.75" customHeight="1" x14ac:dyDescent="0.25">
      <c r="B11" s="32"/>
      <c r="C11" s="3"/>
      <c r="D11" s="57"/>
      <c r="E11" s="57"/>
      <c r="F11" s="57"/>
      <c r="G11" s="57"/>
      <c r="H11" s="3"/>
      <c r="I11" s="3"/>
      <c r="J11" s="3"/>
      <c r="K11" s="11"/>
      <c r="L11" s="11"/>
      <c r="M11" s="11"/>
      <c r="N11" s="4"/>
      <c r="O11" s="4"/>
      <c r="P11" s="4"/>
      <c r="Q11" s="33"/>
    </row>
    <row r="12" spans="2:27" ht="4.5" customHeight="1" x14ac:dyDescent="0.25">
      <c r="B12" s="34"/>
      <c r="C12" s="35"/>
      <c r="D12" s="58"/>
      <c r="E12" s="58"/>
      <c r="F12" s="58"/>
      <c r="G12" s="58"/>
      <c r="H12" s="35"/>
      <c r="I12" s="35"/>
      <c r="J12" s="35"/>
      <c r="K12" s="36"/>
      <c r="L12" s="36"/>
      <c r="M12" s="36"/>
      <c r="N12" s="37"/>
      <c r="O12" s="37"/>
      <c r="P12" s="37"/>
      <c r="Q12" s="38"/>
    </row>
    <row r="13" spans="2:27" ht="10.5" customHeight="1" x14ac:dyDescent="0.25"/>
    <row r="14" spans="2:27" x14ac:dyDescent="0.25">
      <c r="B14" s="28"/>
      <c r="C14" s="29"/>
      <c r="D14" s="59"/>
      <c r="E14" s="59"/>
      <c r="F14" s="59"/>
      <c r="G14" s="59"/>
      <c r="H14" s="29"/>
      <c r="I14" s="29"/>
      <c r="J14" s="29"/>
      <c r="K14" s="30"/>
      <c r="L14" s="30"/>
      <c r="M14" s="30"/>
      <c r="N14" s="22"/>
      <c r="O14" s="22"/>
      <c r="P14" s="22"/>
      <c r="Q14" s="31"/>
    </row>
    <row r="15" spans="2:27" x14ac:dyDescent="0.25">
      <c r="B15" s="32"/>
      <c r="C15" s="135" t="s">
        <v>86</v>
      </c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33"/>
    </row>
    <row r="16" spans="2:27" ht="17.25" customHeight="1" x14ac:dyDescent="0.25">
      <c r="B16" s="32"/>
      <c r="C16" s="3"/>
      <c r="D16" s="57"/>
      <c r="E16" s="57"/>
      <c r="F16" s="57"/>
      <c r="G16" s="57"/>
      <c r="H16" s="3"/>
      <c r="I16" s="3"/>
      <c r="J16" s="3"/>
      <c r="K16" s="11"/>
      <c r="L16" s="11"/>
      <c r="M16" s="11"/>
      <c r="N16" s="4"/>
      <c r="O16" s="4"/>
      <c r="P16" s="4"/>
      <c r="Q16" s="33"/>
    </row>
    <row r="17" spans="2:17" ht="17.25" customHeight="1" x14ac:dyDescent="0.25">
      <c r="B17" s="32"/>
      <c r="C17" s="75" t="s">
        <v>28</v>
      </c>
      <c r="D17" s="75">
        <v>1</v>
      </c>
      <c r="E17" s="57"/>
      <c r="F17" s="57"/>
      <c r="G17" s="57"/>
      <c r="H17" s="3"/>
      <c r="I17" s="3"/>
      <c r="J17" s="3"/>
      <c r="K17" s="11"/>
      <c r="L17" s="11"/>
      <c r="M17" s="11"/>
      <c r="N17" s="4"/>
      <c r="O17" s="4"/>
      <c r="P17" s="4"/>
      <c r="Q17" s="33"/>
    </row>
    <row r="18" spans="2:17" ht="7.5" customHeight="1" x14ac:dyDescent="0.25">
      <c r="B18" s="32"/>
      <c r="C18" s="3"/>
      <c r="D18" s="57"/>
      <c r="E18" s="57"/>
      <c r="F18" s="57"/>
      <c r="G18" s="57"/>
      <c r="H18" s="3"/>
      <c r="I18" s="3"/>
      <c r="J18" s="3"/>
      <c r="K18" s="11"/>
      <c r="L18" s="11"/>
      <c r="M18" s="11"/>
      <c r="N18" s="4"/>
      <c r="O18" s="4"/>
      <c r="P18" s="4"/>
      <c r="Q18" s="33"/>
    </row>
    <row r="19" spans="2:17" ht="41.25" customHeight="1" x14ac:dyDescent="0.25">
      <c r="B19" s="32"/>
      <c r="C19" s="70" t="s">
        <v>26</v>
      </c>
      <c r="D19" s="123" t="s">
        <v>4</v>
      </c>
      <c r="E19" s="124"/>
      <c r="F19" s="124"/>
      <c r="G19" s="124"/>
      <c r="H19" s="125"/>
      <c r="I19" s="70" t="s">
        <v>2</v>
      </c>
      <c r="J19" s="70" t="s">
        <v>101</v>
      </c>
      <c r="K19" s="69" t="s">
        <v>20</v>
      </c>
      <c r="L19" s="69" t="s">
        <v>23</v>
      </c>
      <c r="M19" s="69" t="s">
        <v>0</v>
      </c>
      <c r="N19" s="70" t="s">
        <v>24</v>
      </c>
      <c r="O19" s="69" t="s">
        <v>9</v>
      </c>
      <c r="P19" s="76" t="s">
        <v>27</v>
      </c>
      <c r="Q19" s="33"/>
    </row>
    <row r="20" spans="2:17" x14ac:dyDescent="0.25">
      <c r="B20" s="32"/>
      <c r="C20" s="64"/>
      <c r="D20" s="104"/>
      <c r="E20" s="105"/>
      <c r="F20" s="105"/>
      <c r="G20" s="105"/>
      <c r="H20" s="106"/>
      <c r="I20" s="41" t="s">
        <v>35</v>
      </c>
      <c r="J20" s="41" t="s">
        <v>22</v>
      </c>
      <c r="K20" s="65" t="s">
        <v>33</v>
      </c>
      <c r="L20" s="66" t="s">
        <v>55</v>
      </c>
      <c r="M20" s="66" t="s">
        <v>105</v>
      </c>
      <c r="N20" s="63">
        <v>1</v>
      </c>
      <c r="O20" s="27">
        <f ca="1">(IF(I20&amp;J20&amp;K20&amp;L20&amp;M20&lt;&gt;"",VLOOKUP(I20&amp;J20&amp;K20&amp;L20&amp;M20,INDIRECT("'"&amp;$R$2&amp;I20&amp;"'"&amp;"!$G$2:K323"),3,FALSE),0)*N20)</f>
        <v>0.25</v>
      </c>
      <c r="P20" s="27">
        <f ca="1">O20*$D$17</f>
        <v>0.25</v>
      </c>
      <c r="Q20" s="33"/>
    </row>
    <row r="21" spans="2:17" x14ac:dyDescent="0.25">
      <c r="B21" s="32"/>
      <c r="C21" s="64"/>
      <c r="D21" s="107"/>
      <c r="E21" s="108"/>
      <c r="F21" s="108"/>
      <c r="G21" s="108"/>
      <c r="H21" s="109"/>
      <c r="I21" s="41" t="s">
        <v>35</v>
      </c>
      <c r="J21" s="41" t="s">
        <v>22</v>
      </c>
      <c r="K21" s="65" t="s">
        <v>113</v>
      </c>
      <c r="L21" s="66" t="s">
        <v>91</v>
      </c>
      <c r="M21" s="66" t="s">
        <v>105</v>
      </c>
      <c r="N21" s="63">
        <v>1</v>
      </c>
      <c r="O21" s="27">
        <f ca="1">(IF(I21&amp;J21&amp;K21&amp;L21&amp;M21&lt;&gt;"",VLOOKUP(I21&amp;J21&amp;K21&amp;L21&amp;M21,INDIRECT("'"&amp;$R$2&amp;I21&amp;"'"&amp;"!$G$2:K323"),3,FALSE),0)*N21)</f>
        <v>0.25</v>
      </c>
      <c r="P21" s="27">
        <f ca="1">O21*$D$17</f>
        <v>0.25</v>
      </c>
      <c r="Q21" s="33"/>
    </row>
    <row r="22" spans="2:17" x14ac:dyDescent="0.25">
      <c r="B22" s="32"/>
      <c r="C22" s="64"/>
      <c r="D22" s="111"/>
      <c r="E22" s="112"/>
      <c r="F22" s="112"/>
      <c r="G22" s="112"/>
      <c r="H22" s="113"/>
      <c r="I22" s="41" t="s">
        <v>36</v>
      </c>
      <c r="J22" s="41" t="s">
        <v>22</v>
      </c>
      <c r="K22" s="65" t="s">
        <v>112</v>
      </c>
      <c r="L22" s="66" t="s">
        <v>91</v>
      </c>
      <c r="M22" s="66" t="s">
        <v>38</v>
      </c>
      <c r="N22" s="63">
        <v>1</v>
      </c>
      <c r="O22" s="27">
        <f ca="1">(IF(I22&amp;J22&amp;K22&amp;L22&amp;M22&lt;&gt;"",VLOOKUP(I22&amp;J22&amp;K22&amp;L22&amp;M22,INDIRECT("'"&amp;$R$2&amp;I22&amp;"'"&amp;"!$G$2:K323"),3,FALSE),0)*N22)</f>
        <v>3</v>
      </c>
      <c r="P22" s="27">
        <f ca="1">O22*$D$17</f>
        <v>3</v>
      </c>
      <c r="Q22" s="33"/>
    </row>
    <row r="23" spans="2:17" x14ac:dyDescent="0.25">
      <c r="B23" s="32"/>
      <c r="C23" s="64"/>
      <c r="D23" s="111"/>
      <c r="E23" s="112"/>
      <c r="F23" s="112"/>
      <c r="G23" s="112"/>
      <c r="H23" s="113"/>
      <c r="I23" s="41" t="s">
        <v>36</v>
      </c>
      <c r="J23" s="41" t="s">
        <v>22</v>
      </c>
      <c r="K23" s="65" t="s">
        <v>32</v>
      </c>
      <c r="L23" s="66" t="s">
        <v>51</v>
      </c>
      <c r="M23" s="66" t="s">
        <v>105</v>
      </c>
      <c r="N23" s="63">
        <v>1</v>
      </c>
      <c r="O23" s="27">
        <f ca="1">(IF(I23&amp;J23&amp;K23&amp;L23&amp;M23&lt;&gt;"",VLOOKUP(I23&amp;J23&amp;K23&amp;L23&amp;M23,INDIRECT("'"&amp;$R$2&amp;I23&amp;"'"&amp;"!$G$2:K323"),3,FALSE),0)*N23)</f>
        <v>0.25</v>
      </c>
      <c r="P23" s="27">
        <f ca="1">O23*$D$17</f>
        <v>0.25</v>
      </c>
      <c r="Q23" s="33"/>
    </row>
    <row r="24" spans="2:17" x14ac:dyDescent="0.25">
      <c r="B24" s="32"/>
      <c r="C24" s="64"/>
      <c r="D24" s="104"/>
      <c r="E24" s="105"/>
      <c r="F24" s="105"/>
      <c r="G24" s="105"/>
      <c r="H24" s="106"/>
      <c r="I24" s="41" t="s">
        <v>35</v>
      </c>
      <c r="J24" s="41" t="s">
        <v>22</v>
      </c>
      <c r="K24" s="65" t="s">
        <v>32</v>
      </c>
      <c r="L24" s="66" t="s">
        <v>52</v>
      </c>
      <c r="M24" s="66" t="s">
        <v>105</v>
      </c>
      <c r="N24" s="63">
        <v>1</v>
      </c>
      <c r="O24" s="27">
        <f ca="1">(IF(I24&amp;J24&amp;K24&amp;L24&amp;M24&lt;&gt;"",VLOOKUP(I24&amp;J24&amp;K24&amp;L24&amp;M24,INDIRECT("'"&amp;$R$2&amp;I24&amp;"'"&amp;"!$G$2:K323"),3,FALSE),0)*N24)</f>
        <v>0.25</v>
      </c>
      <c r="P24" s="27">
        <f ca="1">O24*$D$17</f>
        <v>0.25</v>
      </c>
      <c r="Q24" s="33"/>
    </row>
    <row r="25" spans="2:17" x14ac:dyDescent="0.25">
      <c r="B25" s="32"/>
      <c r="C25" s="133" t="s">
        <v>31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67"/>
      <c r="Q25" s="33"/>
    </row>
    <row r="26" spans="2:17" x14ac:dyDescent="0.25">
      <c r="B26" s="32"/>
      <c r="C26" s="3"/>
      <c r="D26" s="60"/>
      <c r="E26" s="60"/>
      <c r="F26" s="60"/>
      <c r="G26" s="60"/>
      <c r="H26" s="11"/>
      <c r="I26" s="11"/>
      <c r="J26" s="11"/>
      <c r="K26" s="11"/>
      <c r="L26" s="11"/>
      <c r="M26" s="11"/>
      <c r="N26" s="9"/>
      <c r="O26" s="9"/>
      <c r="P26" s="9"/>
      <c r="Q26" s="33"/>
    </row>
    <row r="27" spans="2:17" x14ac:dyDescent="0.25">
      <c r="B27" s="32"/>
      <c r="C27" s="134" t="s">
        <v>6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6"/>
      <c r="O27" s="1"/>
      <c r="P27" s="74">
        <f ca="1">SUM(P18:P25)</f>
        <v>4</v>
      </c>
      <c r="Q27" s="33"/>
    </row>
    <row r="28" spans="2:17" x14ac:dyDescent="0.25">
      <c r="B28" s="34"/>
      <c r="C28" s="35"/>
      <c r="D28" s="58"/>
      <c r="E28" s="58"/>
      <c r="F28" s="58"/>
      <c r="G28" s="58"/>
      <c r="H28" s="35"/>
      <c r="I28" s="35"/>
      <c r="J28" s="35"/>
      <c r="K28" s="36"/>
      <c r="L28" s="36"/>
      <c r="M28" s="36"/>
      <c r="N28" s="37"/>
      <c r="O28" s="37"/>
      <c r="P28" s="37"/>
      <c r="Q28" s="38"/>
    </row>
    <row r="29" spans="2:17" ht="10.5" customHeight="1" x14ac:dyDescent="0.25"/>
    <row r="30" spans="2:17" x14ac:dyDescent="0.25">
      <c r="B30" s="28"/>
      <c r="C30" s="29"/>
      <c r="D30" s="59"/>
      <c r="E30" s="59"/>
      <c r="F30" s="59"/>
      <c r="G30" s="59"/>
      <c r="H30" s="29"/>
      <c r="I30" s="29"/>
      <c r="J30" s="29"/>
      <c r="K30" s="30"/>
      <c r="L30" s="30"/>
      <c r="M30" s="30"/>
      <c r="N30" s="22"/>
      <c r="O30" s="22"/>
      <c r="P30" s="22"/>
      <c r="Q30" s="31"/>
    </row>
    <row r="31" spans="2:17" ht="15" customHeight="1" x14ac:dyDescent="0.25">
      <c r="B31" s="32"/>
      <c r="C31" s="116"/>
      <c r="D31" s="116"/>
      <c r="E31" s="116"/>
      <c r="F31" s="116"/>
      <c r="G31" s="116"/>
      <c r="H31" s="116"/>
      <c r="I31" s="116"/>
      <c r="J31" s="132" t="s">
        <v>5</v>
      </c>
      <c r="K31" s="131" t="s">
        <v>14</v>
      </c>
      <c r="L31" s="131"/>
      <c r="M31" s="45"/>
      <c r="N31" s="45"/>
      <c r="O31" s="45"/>
      <c r="P31" s="67"/>
      <c r="Q31" s="33"/>
    </row>
    <row r="32" spans="2:17" ht="15" customHeight="1" x14ac:dyDescent="0.25">
      <c r="B32" s="32"/>
      <c r="C32" s="137" t="s">
        <v>71</v>
      </c>
      <c r="D32" s="137"/>
      <c r="G32" s="48"/>
      <c r="H32" s="45"/>
      <c r="J32" s="132"/>
      <c r="K32" s="78" t="s">
        <v>12</v>
      </c>
      <c r="L32" s="78" t="s">
        <v>13</v>
      </c>
      <c r="P32" s="80" t="s">
        <v>9</v>
      </c>
      <c r="Q32" s="33"/>
    </row>
    <row r="33" spans="2:22" x14ac:dyDescent="0.25">
      <c r="B33" s="32"/>
      <c r="C33" s="95" t="s">
        <v>93</v>
      </c>
      <c r="D33" s="98"/>
      <c r="E33" s="57"/>
      <c r="F33" s="96" t="s">
        <v>94</v>
      </c>
      <c r="G33" s="57"/>
      <c r="H33" s="3"/>
      <c r="I33" s="89" t="s">
        <v>104</v>
      </c>
      <c r="J33" s="77">
        <v>0.05</v>
      </c>
      <c r="K33" s="47" t="s">
        <v>99</v>
      </c>
      <c r="L33" s="114">
        <v>0.05</v>
      </c>
      <c r="N33" s="6"/>
      <c r="P33" s="44">
        <f t="shared" ref="P33:P35" ca="1" si="0" xml:space="preserve"> IF(K33="Sí",$P$27*(J33+L33),$P$27*(J33) )</f>
        <v>0.2</v>
      </c>
      <c r="Q33" s="33"/>
    </row>
    <row r="34" spans="2:22" x14ac:dyDescent="0.25">
      <c r="B34" s="32"/>
      <c r="C34" s="87" t="s">
        <v>21</v>
      </c>
      <c r="D34" s="82" t="s">
        <v>65</v>
      </c>
      <c r="E34" s="55"/>
      <c r="F34" s="82" t="s">
        <v>34</v>
      </c>
      <c r="G34" s="55"/>
      <c r="H34" s="14"/>
      <c r="I34" s="89" t="s">
        <v>50</v>
      </c>
      <c r="J34" s="77">
        <v>0.25</v>
      </c>
      <c r="K34" s="47" t="s">
        <v>99</v>
      </c>
      <c r="L34" s="114">
        <v>0.05</v>
      </c>
      <c r="N34" s="6"/>
      <c r="P34" s="44">
        <f t="shared" ca="1" si="0"/>
        <v>1</v>
      </c>
      <c r="Q34" s="33"/>
    </row>
    <row r="35" spans="2:22" x14ac:dyDescent="0.25">
      <c r="B35" s="32"/>
      <c r="C35" s="88" t="s">
        <v>22</v>
      </c>
      <c r="D35" s="83" t="s">
        <v>69</v>
      </c>
      <c r="E35" s="55"/>
      <c r="F35" s="82" t="s">
        <v>33</v>
      </c>
      <c r="G35" s="55"/>
      <c r="H35" s="14"/>
      <c r="I35" s="89" t="s">
        <v>103</v>
      </c>
      <c r="J35" s="77">
        <v>0.03</v>
      </c>
      <c r="K35" s="47" t="s">
        <v>99</v>
      </c>
      <c r="L35" s="114">
        <v>0.02</v>
      </c>
      <c r="N35" s="6"/>
      <c r="P35" s="44">
        <f t="shared" ca="1" si="0"/>
        <v>0.12</v>
      </c>
      <c r="Q35" s="33"/>
      <c r="R35" s="17"/>
    </row>
    <row r="36" spans="2:22" x14ac:dyDescent="0.25">
      <c r="B36" s="32"/>
      <c r="C36" s="88" t="s">
        <v>29</v>
      </c>
      <c r="D36" s="83" t="s">
        <v>66</v>
      </c>
      <c r="E36" s="55"/>
      <c r="F36" s="82" t="s">
        <v>32</v>
      </c>
      <c r="G36" s="55"/>
      <c r="H36" s="14"/>
      <c r="I36" s="89" t="s">
        <v>30</v>
      </c>
      <c r="J36" s="77">
        <v>0.15</v>
      </c>
      <c r="K36" s="47" t="s">
        <v>99</v>
      </c>
      <c r="L36" s="114">
        <v>0.05</v>
      </c>
      <c r="N36" s="6"/>
      <c r="P36" s="44">
        <f t="shared" ref="P36" ca="1" si="1" xml:space="preserve"> IF(K36="Sí",$P$27*(J36+L36),$P$27*(J36) )</f>
        <v>0.6</v>
      </c>
      <c r="Q36" s="33"/>
      <c r="R36" s="17"/>
    </row>
    <row r="37" spans="2:22" ht="18.75" x14ac:dyDescent="0.3">
      <c r="B37" s="32"/>
      <c r="C37" s="88" t="s">
        <v>64</v>
      </c>
      <c r="D37" s="83" t="s">
        <v>72</v>
      </c>
      <c r="E37" s="55"/>
      <c r="F37" s="97" t="s">
        <v>106</v>
      </c>
      <c r="G37" s="55"/>
      <c r="H37" s="14"/>
      <c r="I37" s="89"/>
      <c r="J37" s="51"/>
      <c r="K37" s="51"/>
      <c r="L37" s="51"/>
      <c r="M37" s="51"/>
      <c r="N37" s="51"/>
      <c r="O37" s="51"/>
      <c r="P37" s="51"/>
      <c r="Q37" s="33"/>
      <c r="R37" s="17"/>
    </row>
    <row r="38" spans="2:22" ht="18.75" x14ac:dyDescent="0.3">
      <c r="B38" s="32"/>
      <c r="C38" s="3"/>
      <c r="D38" s="55"/>
      <c r="E38" s="55"/>
      <c r="F38" s="97" t="s">
        <v>107</v>
      </c>
      <c r="G38" s="55"/>
      <c r="H38" s="14"/>
      <c r="I38" s="89"/>
      <c r="J38" s="110" t="s">
        <v>100</v>
      </c>
      <c r="K38" s="110" t="s">
        <v>12</v>
      </c>
      <c r="L38" s="110" t="s">
        <v>13</v>
      </c>
      <c r="M38" s="51"/>
      <c r="N38" s="51"/>
      <c r="O38" s="51"/>
      <c r="P38" s="51"/>
      <c r="Q38" s="33"/>
      <c r="R38" s="17"/>
    </row>
    <row r="39" spans="2:22" x14ac:dyDescent="0.25">
      <c r="B39" s="32"/>
      <c r="C39" s="3"/>
      <c r="D39" s="61"/>
      <c r="E39" s="61"/>
      <c r="F39" s="97" t="s">
        <v>52</v>
      </c>
      <c r="G39" s="61"/>
      <c r="H39" s="7"/>
      <c r="I39" s="89" t="s">
        <v>15</v>
      </c>
      <c r="J39" s="115">
        <v>0.5</v>
      </c>
      <c r="K39" s="47" t="s">
        <v>99</v>
      </c>
      <c r="L39" s="114">
        <v>0.5</v>
      </c>
      <c r="N39" s="6"/>
      <c r="P39" s="44">
        <f xml:space="preserve"> IF(K39="Sí",(J39+L39),J39 )</f>
        <v>0.5</v>
      </c>
      <c r="Q39" s="33"/>
    </row>
    <row r="40" spans="2:22" x14ac:dyDescent="0.25">
      <c r="B40" s="32"/>
      <c r="C40" s="3"/>
      <c r="D40" s="61"/>
      <c r="E40" s="61"/>
      <c r="F40" s="61"/>
      <c r="G40" s="61"/>
      <c r="H40" s="7"/>
      <c r="J40" s="138" t="s">
        <v>6</v>
      </c>
      <c r="K40" s="139"/>
      <c r="L40" s="139"/>
      <c r="M40" s="140"/>
      <c r="N40" s="6"/>
      <c r="P40" s="79">
        <f ca="1">SUM(P33:P36, P39)</f>
        <v>2.42</v>
      </c>
      <c r="Q40" s="33"/>
    </row>
    <row r="41" spans="2:22" x14ac:dyDescent="0.25">
      <c r="B41" s="34"/>
      <c r="C41" s="35"/>
      <c r="D41" s="58"/>
      <c r="E41" s="58"/>
      <c r="F41" s="58"/>
      <c r="G41" s="58"/>
      <c r="H41" s="35"/>
      <c r="I41" s="35"/>
      <c r="J41" s="35"/>
      <c r="K41" s="36"/>
      <c r="L41" s="36"/>
      <c r="M41" s="36"/>
      <c r="N41" s="37"/>
      <c r="O41" s="37"/>
      <c r="P41" s="37"/>
      <c r="Q41" s="38"/>
    </row>
    <row r="42" spans="2:22" ht="3" customHeight="1" x14ac:dyDescent="0.25"/>
    <row r="43" spans="2:22" ht="10.5" customHeight="1" x14ac:dyDescent="0.25"/>
    <row r="44" spans="2:22" x14ac:dyDescent="0.25">
      <c r="B44" s="28"/>
      <c r="C44" s="29"/>
      <c r="D44" s="59"/>
      <c r="E44" s="59"/>
      <c r="F44" s="59"/>
      <c r="G44" s="59"/>
      <c r="H44" s="29"/>
      <c r="I44" s="29"/>
      <c r="J44" s="29"/>
      <c r="K44" s="30"/>
      <c r="L44" s="30"/>
      <c r="M44" s="30"/>
      <c r="N44" s="22"/>
      <c r="O44" s="22"/>
      <c r="P44" s="22"/>
      <c r="Q44" s="31"/>
    </row>
    <row r="45" spans="2:22" x14ac:dyDescent="0.25">
      <c r="B45" s="39"/>
      <c r="C45" s="129" t="s">
        <v>7</v>
      </c>
      <c r="D45" s="129" t="s">
        <v>7</v>
      </c>
      <c r="E45" s="129"/>
      <c r="F45" s="129"/>
      <c r="G45" s="129"/>
      <c r="H45" s="129"/>
      <c r="I45" s="129"/>
      <c r="J45" s="129"/>
      <c r="K45" s="129"/>
      <c r="L45" s="129"/>
      <c r="M45" s="129"/>
      <c r="N45" s="6"/>
      <c r="P45" s="81">
        <f ca="1">P27+P40</f>
        <v>6.42</v>
      </c>
      <c r="Q45" s="40"/>
    </row>
    <row r="46" spans="2:22" x14ac:dyDescent="0.25">
      <c r="B46" s="34"/>
      <c r="C46" s="35"/>
      <c r="D46" s="58"/>
      <c r="E46" s="58"/>
      <c r="F46" s="58"/>
      <c r="G46" s="58"/>
      <c r="H46" s="35"/>
      <c r="I46" s="35"/>
      <c r="J46" s="35"/>
      <c r="K46" s="36"/>
      <c r="L46" s="36"/>
      <c r="M46" s="36"/>
      <c r="N46" s="37"/>
      <c r="O46" s="37"/>
      <c r="P46" s="37"/>
      <c r="Q46" s="38"/>
    </row>
    <row r="48" spans="2:22" s="49" customFormat="1" ht="18.75" x14ac:dyDescent="0.3">
      <c r="C48" s="50" t="s">
        <v>102</v>
      </c>
      <c r="D48" s="62"/>
      <c r="E48" s="62"/>
      <c r="F48" s="62"/>
      <c r="G48" s="62"/>
      <c r="K48" s="51"/>
      <c r="L48" s="51"/>
      <c r="M48" s="51"/>
      <c r="N48" s="52"/>
      <c r="O48" s="52"/>
      <c r="P48" s="52"/>
      <c r="V48" s="51"/>
    </row>
    <row r="49" spans="4:22" s="49" customFormat="1" ht="18.75" x14ac:dyDescent="0.3">
      <c r="D49" s="62"/>
      <c r="E49" s="62"/>
      <c r="F49" s="62"/>
      <c r="G49" s="62"/>
      <c r="K49" s="51"/>
      <c r="L49" s="51"/>
      <c r="M49" s="51"/>
      <c r="N49" s="52"/>
      <c r="O49" s="52"/>
      <c r="P49" s="52"/>
      <c r="V49" s="51"/>
    </row>
    <row r="50" spans="4:22" s="49" customFormat="1" ht="18.75" x14ac:dyDescent="0.3">
      <c r="D50" s="62"/>
      <c r="E50" s="62"/>
      <c r="F50" s="62"/>
      <c r="G50" s="62"/>
      <c r="K50" s="51"/>
      <c r="L50" s="51"/>
      <c r="M50" s="51"/>
      <c r="N50" s="52"/>
      <c r="O50" s="52"/>
      <c r="P50" s="52"/>
      <c r="V50" s="51"/>
    </row>
    <row r="51" spans="4:22" s="49" customFormat="1" ht="18.75" x14ac:dyDescent="0.3">
      <c r="D51" s="62"/>
      <c r="E51" s="62"/>
      <c r="F51" s="62"/>
      <c r="G51" s="62"/>
      <c r="K51" s="51"/>
      <c r="L51" s="51"/>
      <c r="M51" s="51"/>
      <c r="N51" s="52"/>
      <c r="O51" s="52"/>
      <c r="P51" s="52"/>
      <c r="V51" s="51"/>
    </row>
    <row r="52" spans="4:22" s="49" customFormat="1" ht="18.75" x14ac:dyDescent="0.3">
      <c r="D52" s="62"/>
      <c r="E52" s="62"/>
      <c r="F52" s="62"/>
      <c r="G52" s="62"/>
      <c r="K52" s="51"/>
      <c r="L52" s="51"/>
      <c r="M52" s="51"/>
      <c r="N52" s="52"/>
      <c r="O52" s="52"/>
      <c r="P52" s="52"/>
      <c r="V52" s="51"/>
    </row>
    <row r="53" spans="4:22" s="49" customFormat="1" ht="18.75" x14ac:dyDescent="0.3">
      <c r="D53" s="62"/>
      <c r="E53" s="62"/>
      <c r="F53" s="62"/>
      <c r="G53" s="62"/>
      <c r="J53" s="45"/>
      <c r="V53" s="51"/>
    </row>
    <row r="54" spans="4:22" s="49" customFormat="1" ht="18.75" x14ac:dyDescent="0.3">
      <c r="D54" s="62"/>
      <c r="E54" s="62"/>
      <c r="F54" s="62"/>
      <c r="G54" s="62"/>
      <c r="J54" s="10"/>
      <c r="V54" s="51"/>
    </row>
    <row r="55" spans="4:22" s="49" customFormat="1" ht="18.75" x14ac:dyDescent="0.3">
      <c r="D55" s="62"/>
      <c r="E55" s="62"/>
      <c r="F55" s="62"/>
      <c r="G55" s="62"/>
      <c r="V55" s="51"/>
    </row>
    <row r="56" spans="4:22" s="49" customFormat="1" ht="18.75" x14ac:dyDescent="0.3">
      <c r="D56" s="62"/>
      <c r="E56" s="62"/>
      <c r="F56" s="62"/>
      <c r="G56" s="62"/>
      <c r="V56" s="51"/>
    </row>
  </sheetData>
  <mergeCells count="13">
    <mergeCell ref="B2:Q2"/>
    <mergeCell ref="D19:H19"/>
    <mergeCell ref="E5:P5"/>
    <mergeCell ref="E7:P7"/>
    <mergeCell ref="C45:M45"/>
    <mergeCell ref="M9:N9"/>
    <mergeCell ref="K31:L31"/>
    <mergeCell ref="J31:J32"/>
    <mergeCell ref="C25:O25"/>
    <mergeCell ref="C27:M27"/>
    <mergeCell ref="C15:P15"/>
    <mergeCell ref="C32:D32"/>
    <mergeCell ref="J40:M40"/>
  </mergeCells>
  <dataValidations count="7">
    <dataValidation type="list" allowBlank="1" showInputMessage="1" showErrorMessage="1" sqref="M26" xr:uid="{00000000-0002-0000-0000-000000000000}">
      <formula1>#REF!</formula1>
    </dataValidation>
    <dataValidation type="list" allowBlank="1" showInputMessage="1" showErrorMessage="1" sqref="K39 K33:K36" xr:uid="{00000000-0002-0000-0000-000001000000}">
      <formula1>"Sí,No"</formula1>
    </dataValidation>
    <dataValidation type="list" allowBlank="1" showInputMessage="1" showErrorMessage="1" sqref="I20:I24" xr:uid="{00000000-0002-0000-0000-000002000000}">
      <formula1>NUEVO_MODIF</formula1>
    </dataValidation>
    <dataValidation type="list" allowBlank="1" showInputMessage="1" showErrorMessage="1" sqref="M20:M24" xr:uid="{00000000-0002-0000-0000-000003000000}">
      <formula1>COMPLEJIDAD</formula1>
    </dataValidation>
    <dataValidation type="list" allowBlank="1" showInputMessage="1" showErrorMessage="1" sqref="J20:J24" xr:uid="{00000000-0002-0000-0000-000004000000}">
      <formula1>AMBITO_CONSTRUCCION_CT</formula1>
    </dataValidation>
    <dataValidation type="list" allowBlank="1" showInputMessage="1" showErrorMessage="1" sqref="K20:K24" xr:uid="{00000000-0002-0000-0000-000005000000}">
      <formula1>INDIRECT(J20)</formula1>
    </dataValidation>
    <dataValidation type="list" allowBlank="1" showInputMessage="1" showErrorMessage="1" sqref="L20:L24" xr:uid="{00000000-0002-0000-0000-000006000000}">
      <formula1>INDIRECT(CONCATENATE(J20,K20))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07"/>
  <sheetViews>
    <sheetView zoomScale="85" zoomScaleNormal="85" workbookViewId="0">
      <selection activeCell="D11" sqref="D11"/>
    </sheetView>
  </sheetViews>
  <sheetFormatPr baseColWidth="10" defaultRowHeight="15" x14ac:dyDescent="0.25"/>
  <cols>
    <col min="1" max="1" width="14.5703125" bestFit="1" customWidth="1"/>
    <col min="4" max="4" width="35.85546875" bestFit="1" customWidth="1"/>
    <col min="5" max="5" width="12.140625" customWidth="1"/>
    <col min="6" max="6" width="200.85546875" bestFit="1" customWidth="1"/>
    <col min="9" max="9" width="22.85546875" customWidth="1"/>
    <col min="10" max="10" width="48.7109375" bestFit="1" customWidth="1"/>
  </cols>
  <sheetData>
    <row r="1" spans="1:10" x14ac:dyDescent="0.25">
      <c r="A1" s="71" t="s">
        <v>2</v>
      </c>
      <c r="B1" s="71" t="s">
        <v>16</v>
      </c>
      <c r="C1" s="71" t="s">
        <v>20</v>
      </c>
      <c r="D1" s="72" t="s">
        <v>23</v>
      </c>
      <c r="E1" s="71" t="s">
        <v>0</v>
      </c>
      <c r="F1" s="73" t="s">
        <v>46</v>
      </c>
    </row>
    <row r="2" spans="1:10" x14ac:dyDescent="0.25">
      <c r="A2" s="82" t="s">
        <v>35</v>
      </c>
      <c r="B2" s="82" t="s">
        <v>21</v>
      </c>
      <c r="C2" s="90" t="s">
        <v>21</v>
      </c>
      <c r="D2" s="90" t="s">
        <v>40</v>
      </c>
      <c r="E2" s="82" t="s">
        <v>105</v>
      </c>
      <c r="F2" s="82"/>
      <c r="H2" s="137" t="s">
        <v>71</v>
      </c>
      <c r="I2" s="137"/>
      <c r="J2" s="137"/>
    </row>
    <row r="3" spans="1:10" x14ac:dyDescent="0.25">
      <c r="A3" s="82" t="s">
        <v>36</v>
      </c>
      <c r="B3" s="82" t="s">
        <v>22</v>
      </c>
      <c r="C3" s="82" t="s">
        <v>34</v>
      </c>
      <c r="D3" s="82" t="s">
        <v>97</v>
      </c>
      <c r="E3" s="82" t="s">
        <v>39</v>
      </c>
      <c r="F3" s="82" t="s">
        <v>47</v>
      </c>
      <c r="H3" s="65" t="s">
        <v>21</v>
      </c>
      <c r="I3" s="118" t="s">
        <v>65</v>
      </c>
      <c r="J3" s="119" t="s">
        <v>68</v>
      </c>
    </row>
    <row r="4" spans="1:10" x14ac:dyDescent="0.25">
      <c r="A4" s="82"/>
      <c r="B4" s="82" t="s">
        <v>29</v>
      </c>
      <c r="C4" s="83" t="s">
        <v>112</v>
      </c>
      <c r="D4" s="82" t="s">
        <v>76</v>
      </c>
      <c r="E4" s="82" t="s">
        <v>38</v>
      </c>
      <c r="F4" s="82" t="s">
        <v>48</v>
      </c>
      <c r="H4" s="41" t="s">
        <v>22</v>
      </c>
      <c r="I4" s="120" t="s">
        <v>69</v>
      </c>
      <c r="J4" s="121" t="s">
        <v>69</v>
      </c>
    </row>
    <row r="5" spans="1:10" x14ac:dyDescent="0.25">
      <c r="A5" s="82"/>
      <c r="B5" s="82" t="s">
        <v>64</v>
      </c>
      <c r="C5" s="117" t="s">
        <v>113</v>
      </c>
      <c r="D5" s="82" t="s">
        <v>74</v>
      </c>
      <c r="E5" s="82" t="s">
        <v>37</v>
      </c>
      <c r="F5" s="82" t="s">
        <v>49</v>
      </c>
      <c r="H5" s="41" t="s">
        <v>29</v>
      </c>
      <c r="I5" s="120" t="s">
        <v>66</v>
      </c>
      <c r="J5" s="121" t="s">
        <v>67</v>
      </c>
    </row>
    <row r="6" spans="1:10" x14ac:dyDescent="0.25">
      <c r="A6" s="82"/>
      <c r="B6" s="82"/>
      <c r="C6" s="82" t="s">
        <v>32</v>
      </c>
      <c r="D6" s="82" t="s">
        <v>75</v>
      </c>
      <c r="E6" s="82"/>
      <c r="F6" s="82"/>
      <c r="H6" s="41" t="s">
        <v>64</v>
      </c>
      <c r="I6" s="120" t="s">
        <v>72</v>
      </c>
      <c r="J6" s="121" t="s">
        <v>70</v>
      </c>
    </row>
    <row r="7" spans="1:10" x14ac:dyDescent="0.25">
      <c r="A7" s="82"/>
      <c r="B7" s="82"/>
      <c r="C7" s="82" t="s">
        <v>33</v>
      </c>
      <c r="D7" s="84" t="s">
        <v>98</v>
      </c>
      <c r="E7" s="82"/>
      <c r="F7" s="82"/>
    </row>
    <row r="8" spans="1:10" x14ac:dyDescent="0.25">
      <c r="A8" s="82"/>
      <c r="B8" s="82"/>
      <c r="C8" s="90" t="s">
        <v>22</v>
      </c>
      <c r="D8" s="90" t="s">
        <v>41</v>
      </c>
      <c r="E8" s="82"/>
      <c r="F8" s="82"/>
    </row>
    <row r="9" spans="1:10" x14ac:dyDescent="0.25">
      <c r="A9" s="82"/>
      <c r="B9" s="82"/>
      <c r="C9" s="83" t="s">
        <v>112</v>
      </c>
      <c r="D9" s="84" t="s">
        <v>88</v>
      </c>
      <c r="E9" s="82"/>
      <c r="F9" s="82"/>
    </row>
    <row r="10" spans="1:10" x14ac:dyDescent="0.25">
      <c r="A10" s="82"/>
      <c r="B10" s="82"/>
      <c r="C10" t="s">
        <v>113</v>
      </c>
      <c r="D10" s="82" t="s">
        <v>73</v>
      </c>
      <c r="E10" s="82"/>
      <c r="F10" s="82"/>
    </row>
    <row r="11" spans="1:10" x14ac:dyDescent="0.25">
      <c r="A11" s="82"/>
      <c r="B11" s="82"/>
      <c r="C11" s="82" t="s">
        <v>32</v>
      </c>
      <c r="D11" s="82" t="s">
        <v>97</v>
      </c>
      <c r="E11" s="82"/>
      <c r="F11" s="82"/>
    </row>
    <row r="12" spans="1:10" x14ac:dyDescent="0.25">
      <c r="A12" s="82"/>
      <c r="B12" s="82"/>
      <c r="C12" s="82" t="s">
        <v>33</v>
      </c>
      <c r="D12" s="82" t="s">
        <v>76</v>
      </c>
      <c r="E12" s="82"/>
      <c r="F12" s="82"/>
    </row>
    <row r="13" spans="1:10" x14ac:dyDescent="0.25">
      <c r="A13" s="82"/>
      <c r="B13" s="82"/>
      <c r="C13" s="82" t="s">
        <v>34</v>
      </c>
      <c r="D13" s="91" t="s">
        <v>109</v>
      </c>
      <c r="E13" s="82"/>
      <c r="F13" s="82"/>
    </row>
    <row r="14" spans="1:10" x14ac:dyDescent="0.25">
      <c r="A14" s="82"/>
      <c r="B14" s="82"/>
      <c r="C14" s="90" t="s">
        <v>29</v>
      </c>
      <c r="D14" s="82" t="s">
        <v>57</v>
      </c>
      <c r="E14" s="82"/>
      <c r="F14" s="82"/>
    </row>
    <row r="15" spans="1:10" x14ac:dyDescent="0.25">
      <c r="A15" s="82"/>
      <c r="B15" s="82"/>
      <c r="C15" s="82" t="s">
        <v>52</v>
      </c>
      <c r="D15" s="82" t="s">
        <v>79</v>
      </c>
      <c r="E15" s="82"/>
      <c r="F15" s="82"/>
    </row>
    <row r="16" spans="1:10" x14ac:dyDescent="0.25">
      <c r="A16" s="82"/>
      <c r="B16" s="82"/>
      <c r="C16" s="90" t="s">
        <v>64</v>
      </c>
      <c r="D16" s="84" t="s">
        <v>88</v>
      </c>
      <c r="E16" s="82"/>
      <c r="F16" s="82"/>
    </row>
    <row r="17" spans="1:239" x14ac:dyDescent="0.25">
      <c r="A17" s="82"/>
      <c r="B17" s="82"/>
      <c r="C17" s="82" t="s">
        <v>34</v>
      </c>
      <c r="D17" s="91" t="s">
        <v>108</v>
      </c>
      <c r="E17" s="82"/>
      <c r="F17" s="82"/>
    </row>
    <row r="18" spans="1:239" x14ac:dyDescent="0.25">
      <c r="A18" s="82"/>
      <c r="B18" s="82"/>
      <c r="C18" s="82"/>
      <c r="D18" s="82" t="s">
        <v>57</v>
      </c>
      <c r="E18" s="82"/>
      <c r="F18" s="82"/>
    </row>
    <row r="19" spans="1:239" x14ac:dyDescent="0.25">
      <c r="A19" s="82"/>
      <c r="B19" s="82"/>
      <c r="C19" s="82"/>
      <c r="D19" s="82" t="s">
        <v>79</v>
      </c>
      <c r="E19" s="82"/>
      <c r="F19" s="82"/>
    </row>
    <row r="20" spans="1:239" x14ac:dyDescent="0.25">
      <c r="A20" s="82"/>
      <c r="B20" s="82"/>
      <c r="C20" s="82"/>
      <c r="D20" s="84" t="s">
        <v>88</v>
      </c>
      <c r="E20" s="82"/>
      <c r="F20" s="82"/>
    </row>
    <row r="21" spans="1:239" x14ac:dyDescent="0.25">
      <c r="A21" s="82"/>
      <c r="B21" s="82"/>
      <c r="C21" s="82"/>
      <c r="D21" s="90" t="s">
        <v>42</v>
      </c>
      <c r="E21" s="82"/>
      <c r="F21" s="82"/>
    </row>
    <row r="22" spans="1:239" x14ac:dyDescent="0.25">
      <c r="A22" s="82"/>
      <c r="B22" s="82"/>
      <c r="D22" s="84" t="s">
        <v>78</v>
      </c>
      <c r="E22" s="82"/>
      <c r="F22" s="82"/>
    </row>
    <row r="23" spans="1:239" x14ac:dyDescent="0.25">
      <c r="A23" s="82"/>
      <c r="B23" s="82"/>
      <c r="C23" s="82"/>
      <c r="D23" s="82" t="s">
        <v>77</v>
      </c>
      <c r="E23" s="82"/>
      <c r="F23" s="82"/>
    </row>
    <row r="24" spans="1:239" x14ac:dyDescent="0.25">
      <c r="A24" s="82"/>
      <c r="B24" s="82"/>
      <c r="C24" s="82"/>
      <c r="D24" s="90" t="s">
        <v>43</v>
      </c>
      <c r="E24" s="82"/>
      <c r="F24" s="82"/>
    </row>
    <row r="25" spans="1:239" x14ac:dyDescent="0.25">
      <c r="A25" s="82"/>
      <c r="B25" s="82"/>
      <c r="C25" s="82"/>
      <c r="D25" s="86" t="s">
        <v>51</v>
      </c>
      <c r="E25" s="82"/>
      <c r="F25" s="82"/>
    </row>
    <row r="26" spans="1:239" x14ac:dyDescent="0.25">
      <c r="A26" s="92"/>
      <c r="B26" s="92"/>
      <c r="C26" s="92"/>
      <c r="D26" s="82" t="s">
        <v>52</v>
      </c>
      <c r="E26" s="92"/>
      <c r="F26" s="92"/>
    </row>
    <row r="27" spans="1:239" s="83" customFormat="1" x14ac:dyDescent="0.25">
      <c r="D27" s="82" t="s">
        <v>59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</row>
    <row r="28" spans="1:239" x14ac:dyDescent="0.25">
      <c r="A28" s="93"/>
      <c r="B28" s="93"/>
      <c r="C28" s="93"/>
      <c r="D28" s="82" t="s">
        <v>60</v>
      </c>
      <c r="E28" s="93"/>
      <c r="F28" s="93"/>
    </row>
    <row r="29" spans="1:239" x14ac:dyDescent="0.25">
      <c r="A29" s="82"/>
      <c r="B29" s="82"/>
      <c r="C29" s="82"/>
      <c r="D29" s="85" t="s">
        <v>61</v>
      </c>
      <c r="E29" s="82"/>
      <c r="F29" s="82"/>
    </row>
    <row r="30" spans="1:239" x14ac:dyDescent="0.25">
      <c r="A30" s="82"/>
      <c r="B30" s="82"/>
      <c r="C30" s="82"/>
      <c r="D30" s="92" t="s">
        <v>63</v>
      </c>
      <c r="E30" s="82"/>
      <c r="F30" s="82"/>
    </row>
    <row r="31" spans="1:239" x14ac:dyDescent="0.25">
      <c r="A31" s="82"/>
      <c r="B31" s="82"/>
      <c r="C31" s="82"/>
      <c r="D31" s="82" t="s">
        <v>89</v>
      </c>
      <c r="E31" s="82"/>
      <c r="F31" s="82"/>
    </row>
    <row r="32" spans="1:239" x14ac:dyDescent="0.25">
      <c r="A32" s="82"/>
      <c r="B32" s="82"/>
      <c r="C32" s="82"/>
      <c r="D32" s="91" t="s">
        <v>110</v>
      </c>
      <c r="E32" s="82"/>
      <c r="F32" s="82"/>
    </row>
    <row r="33" spans="1:6" x14ac:dyDescent="0.25">
      <c r="A33" s="82"/>
      <c r="B33" s="82"/>
      <c r="C33" s="82"/>
      <c r="D33" s="82" t="s">
        <v>91</v>
      </c>
      <c r="E33" s="82"/>
      <c r="F33" s="82"/>
    </row>
    <row r="34" spans="1:6" x14ac:dyDescent="0.25">
      <c r="A34" s="82"/>
      <c r="B34" s="82"/>
      <c r="C34" s="82"/>
      <c r="D34" s="84" t="s">
        <v>56</v>
      </c>
      <c r="E34" s="82"/>
      <c r="F34" s="82"/>
    </row>
    <row r="35" spans="1:6" x14ac:dyDescent="0.25">
      <c r="A35" s="82"/>
      <c r="B35" s="82"/>
      <c r="C35" s="82"/>
      <c r="D35" s="82" t="s">
        <v>80</v>
      </c>
      <c r="E35" s="82"/>
      <c r="F35" s="82"/>
    </row>
    <row r="36" spans="1:6" x14ac:dyDescent="0.25">
      <c r="A36" s="82"/>
      <c r="B36" s="82"/>
      <c r="C36" s="82"/>
      <c r="D36" s="82" t="s">
        <v>89</v>
      </c>
      <c r="E36" s="82"/>
      <c r="F36" s="82"/>
    </row>
    <row r="37" spans="1:6" x14ac:dyDescent="0.25">
      <c r="A37" s="82"/>
      <c r="B37" s="82"/>
      <c r="C37" s="82"/>
      <c r="D37" s="91" t="s">
        <v>111</v>
      </c>
      <c r="E37" s="82"/>
      <c r="F37" s="82"/>
    </row>
    <row r="38" spans="1:6" x14ac:dyDescent="0.25">
      <c r="A38" s="82"/>
      <c r="B38" s="82"/>
      <c r="C38" s="82"/>
      <c r="D38" s="82" t="s">
        <v>91</v>
      </c>
      <c r="E38" s="82"/>
      <c r="F38" s="82"/>
    </row>
    <row r="39" spans="1:6" x14ac:dyDescent="0.25">
      <c r="A39" s="82"/>
      <c r="B39" s="82"/>
      <c r="C39" s="82"/>
      <c r="D39" s="84" t="s">
        <v>56</v>
      </c>
      <c r="E39" s="82"/>
      <c r="F39" s="82"/>
    </row>
    <row r="40" spans="1:6" x14ac:dyDescent="0.25">
      <c r="A40" s="82"/>
      <c r="B40" s="82"/>
      <c r="C40" s="82"/>
      <c r="D40" s="82" t="s">
        <v>80</v>
      </c>
      <c r="E40" s="82"/>
      <c r="F40" s="82"/>
    </row>
    <row r="41" spans="1:6" x14ac:dyDescent="0.25">
      <c r="A41" s="82"/>
      <c r="B41" s="82"/>
      <c r="C41" s="82"/>
      <c r="D41" s="82" t="s">
        <v>89</v>
      </c>
      <c r="E41" s="82"/>
      <c r="F41" s="82"/>
    </row>
    <row r="42" spans="1:6" x14ac:dyDescent="0.25">
      <c r="A42" s="82"/>
      <c r="B42" s="82"/>
      <c r="C42" s="82"/>
      <c r="D42" s="90" t="s">
        <v>44</v>
      </c>
      <c r="E42" s="82"/>
      <c r="F42" s="82"/>
    </row>
    <row r="43" spans="1:6" x14ac:dyDescent="0.25">
      <c r="A43" s="92"/>
      <c r="B43" s="92"/>
      <c r="C43" s="92"/>
      <c r="D43" s="82" t="s">
        <v>89</v>
      </c>
      <c r="E43" s="92"/>
      <c r="F43" s="92"/>
    </row>
    <row r="44" spans="1:6" s="83" customFormat="1" x14ac:dyDescent="0.25">
      <c r="A44" s="82"/>
      <c r="B44" s="82"/>
      <c r="C44" s="82"/>
      <c r="D44" s="82" t="s">
        <v>53</v>
      </c>
      <c r="E44" s="82"/>
      <c r="F44" s="82"/>
    </row>
    <row r="45" spans="1:6" s="83" customFormat="1" x14ac:dyDescent="0.25">
      <c r="D45" s="82" t="s">
        <v>54</v>
      </c>
    </row>
    <row r="46" spans="1:6" x14ac:dyDescent="0.25">
      <c r="A46" s="93"/>
      <c r="B46" s="93"/>
      <c r="C46" s="93"/>
      <c r="D46" s="82" t="s">
        <v>55</v>
      </c>
      <c r="E46" s="93"/>
      <c r="F46" s="93"/>
    </row>
    <row r="47" spans="1:6" x14ac:dyDescent="0.25">
      <c r="A47" s="82"/>
      <c r="B47" s="82"/>
      <c r="C47" s="82"/>
      <c r="D47" s="86" t="s">
        <v>82</v>
      </c>
      <c r="E47" s="82"/>
      <c r="F47" s="82"/>
    </row>
    <row r="48" spans="1:6" x14ac:dyDescent="0.25">
      <c r="A48" s="82"/>
      <c r="B48" s="82"/>
      <c r="C48" s="82"/>
      <c r="D48" s="82" t="s">
        <v>81</v>
      </c>
      <c r="E48" s="82"/>
      <c r="F48" s="82"/>
    </row>
    <row r="49" spans="1:6" x14ac:dyDescent="0.25">
      <c r="A49" s="82"/>
      <c r="B49" s="82"/>
      <c r="C49" s="82"/>
      <c r="D49" s="90" t="s">
        <v>45</v>
      </c>
      <c r="E49" s="82"/>
      <c r="F49" s="82"/>
    </row>
    <row r="50" spans="1:6" x14ac:dyDescent="0.25">
      <c r="A50" s="82"/>
      <c r="B50" s="82"/>
      <c r="C50" s="82"/>
      <c r="D50" s="82" t="s">
        <v>69</v>
      </c>
      <c r="E50" s="82"/>
      <c r="F50" s="82"/>
    </row>
    <row r="51" spans="1:6" x14ac:dyDescent="0.25">
      <c r="A51" s="82"/>
      <c r="B51" s="82"/>
      <c r="C51" s="82"/>
      <c r="D51" s="91" t="s">
        <v>83</v>
      </c>
      <c r="E51" s="82"/>
      <c r="F51" s="82"/>
    </row>
    <row r="52" spans="1:6" x14ac:dyDescent="0.25">
      <c r="A52" s="82"/>
      <c r="B52" s="82"/>
      <c r="C52" s="82"/>
      <c r="D52" s="92" t="s">
        <v>84</v>
      </c>
      <c r="E52" s="82"/>
      <c r="F52" s="82"/>
    </row>
    <row r="53" spans="1:6" x14ac:dyDescent="0.25">
      <c r="A53" s="82"/>
      <c r="B53" s="82"/>
      <c r="C53" s="82"/>
      <c r="D53" s="82" t="s">
        <v>85</v>
      </c>
      <c r="E53" s="82"/>
      <c r="F53" s="82"/>
    </row>
    <row r="54" spans="1:6" x14ac:dyDescent="0.25">
      <c r="A54" s="82"/>
      <c r="B54" s="82"/>
      <c r="C54" s="82"/>
      <c r="D54" s="82" t="s">
        <v>92</v>
      </c>
      <c r="E54" s="82"/>
      <c r="F54" s="82"/>
    </row>
    <row r="55" spans="1:6" x14ac:dyDescent="0.25">
      <c r="A55" s="82"/>
      <c r="B55" s="82"/>
      <c r="C55" s="82"/>
      <c r="D55" s="94" t="s">
        <v>87</v>
      </c>
      <c r="E55" s="82"/>
      <c r="F55" s="82"/>
    </row>
    <row r="56" spans="1:6" x14ac:dyDescent="0.25">
      <c r="A56" s="82"/>
      <c r="B56" s="82"/>
      <c r="C56" s="82"/>
      <c r="D56" s="84" t="s">
        <v>72</v>
      </c>
      <c r="E56" s="82"/>
      <c r="F56" s="82"/>
    </row>
    <row r="57" spans="1:6" x14ac:dyDescent="0.25">
      <c r="A57" s="82"/>
      <c r="B57" s="82"/>
      <c r="C57" s="82"/>
      <c r="D57" s="82"/>
      <c r="E57" s="82"/>
      <c r="F57" s="82"/>
    </row>
    <row r="58" spans="1:6" x14ac:dyDescent="0.25">
      <c r="A58" s="82"/>
      <c r="B58" s="82"/>
      <c r="C58" s="82"/>
      <c r="D58" s="82"/>
      <c r="E58" s="82"/>
      <c r="F58" s="82"/>
    </row>
    <row r="59" spans="1:6" x14ac:dyDescent="0.25">
      <c r="A59" s="82"/>
      <c r="B59" s="82"/>
      <c r="C59" s="82"/>
      <c r="D59" s="82"/>
      <c r="E59" s="82"/>
      <c r="F59" s="82"/>
    </row>
    <row r="60" spans="1:6" x14ac:dyDescent="0.25">
      <c r="A60" s="82"/>
      <c r="B60" s="82"/>
      <c r="C60" s="82"/>
      <c r="D60" s="82"/>
      <c r="E60" s="82"/>
      <c r="F60" s="82"/>
    </row>
    <row r="61" spans="1:6" x14ac:dyDescent="0.25">
      <c r="A61" s="82"/>
      <c r="B61" s="82"/>
      <c r="C61" s="82"/>
      <c r="D61" s="82"/>
      <c r="E61" s="82"/>
      <c r="F61" s="82"/>
    </row>
    <row r="62" spans="1:6" x14ac:dyDescent="0.25">
      <c r="A62" s="82"/>
      <c r="B62" s="82"/>
      <c r="C62" s="82"/>
      <c r="D62" s="82"/>
      <c r="E62" s="82"/>
      <c r="F62" s="82"/>
    </row>
    <row r="63" spans="1:6" x14ac:dyDescent="0.25">
      <c r="A63" s="82"/>
      <c r="B63" s="82"/>
      <c r="C63" s="82"/>
      <c r="D63" s="82"/>
      <c r="E63" s="82"/>
      <c r="F63" s="82"/>
    </row>
    <row r="64" spans="1:6" x14ac:dyDescent="0.25">
      <c r="A64" s="82"/>
      <c r="B64" s="82"/>
      <c r="C64" s="82"/>
      <c r="D64" s="82"/>
      <c r="E64" s="82"/>
      <c r="F64" s="82"/>
    </row>
    <row r="65" spans="1:6" x14ac:dyDescent="0.25">
      <c r="A65" s="82"/>
      <c r="B65" s="82"/>
      <c r="C65" s="82"/>
      <c r="D65" s="82"/>
      <c r="E65" s="82"/>
      <c r="F65" s="82"/>
    </row>
    <row r="66" spans="1:6" x14ac:dyDescent="0.25">
      <c r="A66" s="82"/>
      <c r="B66" s="82"/>
      <c r="C66" s="82"/>
      <c r="D66" s="82"/>
      <c r="E66" s="82"/>
      <c r="F66" s="82"/>
    </row>
    <row r="67" spans="1:6" x14ac:dyDescent="0.25">
      <c r="A67" s="82"/>
      <c r="B67" s="82"/>
      <c r="C67" s="82"/>
      <c r="D67" s="82"/>
      <c r="E67" s="82"/>
      <c r="F67" s="82"/>
    </row>
    <row r="68" spans="1:6" x14ac:dyDescent="0.25">
      <c r="A68" s="82"/>
      <c r="B68" s="82"/>
      <c r="C68" s="82"/>
      <c r="D68" s="82"/>
      <c r="E68" s="82"/>
      <c r="F68" s="82"/>
    </row>
    <row r="69" spans="1:6" x14ac:dyDescent="0.25">
      <c r="A69" s="82"/>
      <c r="B69" s="82"/>
      <c r="C69" s="82"/>
      <c r="D69" s="82"/>
      <c r="E69" s="82"/>
      <c r="F69" s="82"/>
    </row>
    <row r="70" spans="1:6" x14ac:dyDescent="0.25">
      <c r="A70" s="82"/>
      <c r="B70" s="82"/>
      <c r="C70" s="82"/>
      <c r="D70" s="82"/>
      <c r="E70" s="82"/>
      <c r="F70" s="82"/>
    </row>
    <row r="71" spans="1:6" x14ac:dyDescent="0.25">
      <c r="A71" s="82"/>
      <c r="B71" s="82"/>
      <c r="C71" s="82"/>
      <c r="D71" s="82"/>
      <c r="E71" s="82"/>
      <c r="F71" s="82"/>
    </row>
    <row r="72" spans="1:6" x14ac:dyDescent="0.25">
      <c r="A72" s="82"/>
      <c r="B72" s="82"/>
      <c r="C72" s="82"/>
      <c r="D72" s="82"/>
      <c r="E72" s="82"/>
      <c r="F72" s="82"/>
    </row>
    <row r="73" spans="1:6" x14ac:dyDescent="0.25">
      <c r="A73" s="82"/>
      <c r="B73" s="82"/>
      <c r="C73" s="82"/>
      <c r="D73" s="82"/>
      <c r="E73" s="82"/>
      <c r="F73" s="82"/>
    </row>
    <row r="74" spans="1:6" x14ac:dyDescent="0.25">
      <c r="A74" s="82"/>
      <c r="B74" s="82"/>
      <c r="C74" s="82"/>
      <c r="D74" s="82"/>
      <c r="E74" s="82"/>
      <c r="F74" s="82"/>
    </row>
    <row r="75" spans="1:6" x14ac:dyDescent="0.25">
      <c r="A75" s="82"/>
      <c r="B75" s="82"/>
      <c r="C75" s="82"/>
      <c r="D75" s="82"/>
      <c r="E75" s="82"/>
      <c r="F75" s="82"/>
    </row>
    <row r="76" spans="1:6" x14ac:dyDescent="0.25">
      <c r="A76" s="82"/>
      <c r="B76" s="82"/>
      <c r="C76" s="82"/>
      <c r="D76" s="82"/>
      <c r="E76" s="82"/>
      <c r="F76" s="82"/>
    </row>
    <row r="77" spans="1:6" x14ac:dyDescent="0.25">
      <c r="A77" s="82"/>
      <c r="B77" s="82"/>
      <c r="C77" s="82"/>
      <c r="D77" s="82"/>
      <c r="E77" s="82"/>
      <c r="F77" s="82"/>
    </row>
    <row r="78" spans="1:6" x14ac:dyDescent="0.25">
      <c r="A78" s="82"/>
      <c r="B78" s="82"/>
      <c r="C78" s="82"/>
      <c r="D78" s="82"/>
      <c r="E78" s="82"/>
      <c r="F78" s="82"/>
    </row>
    <row r="79" spans="1:6" x14ac:dyDescent="0.25">
      <c r="A79" s="82"/>
      <c r="B79" s="82"/>
      <c r="C79" s="82"/>
      <c r="D79" s="82"/>
      <c r="E79" s="82"/>
      <c r="F79" s="82"/>
    </row>
    <row r="80" spans="1:6" x14ac:dyDescent="0.25">
      <c r="A80" s="82"/>
      <c r="B80" s="82"/>
      <c r="C80" s="82"/>
      <c r="D80" s="82"/>
      <c r="E80" s="82"/>
      <c r="F80" s="82"/>
    </row>
    <row r="81" spans="1:6" x14ac:dyDescent="0.25">
      <c r="A81" s="82"/>
      <c r="B81" s="82"/>
      <c r="C81" s="82"/>
      <c r="D81" s="82"/>
      <c r="E81" s="82"/>
      <c r="F81" s="82"/>
    </row>
    <row r="82" spans="1:6" x14ac:dyDescent="0.25">
      <c r="A82" s="82"/>
      <c r="B82" s="82"/>
      <c r="C82" s="82"/>
      <c r="D82" s="82"/>
      <c r="E82" s="82"/>
      <c r="F82" s="82"/>
    </row>
    <row r="83" spans="1:6" x14ac:dyDescent="0.25">
      <c r="A83" s="82"/>
      <c r="B83" s="82"/>
      <c r="C83" s="82"/>
      <c r="D83" s="82"/>
      <c r="E83" s="82"/>
      <c r="F83" s="82"/>
    </row>
    <row r="84" spans="1:6" x14ac:dyDescent="0.25">
      <c r="A84" s="82"/>
      <c r="B84" s="82"/>
      <c r="C84" s="82"/>
      <c r="D84" s="82"/>
      <c r="E84" s="82"/>
      <c r="F84" s="82"/>
    </row>
    <row r="85" spans="1:6" x14ac:dyDescent="0.25">
      <c r="A85" s="82"/>
      <c r="B85" s="82"/>
      <c r="C85" s="82"/>
      <c r="D85" s="82"/>
      <c r="E85" s="82"/>
      <c r="F85" s="82"/>
    </row>
    <row r="86" spans="1:6" x14ac:dyDescent="0.25">
      <c r="A86" s="82"/>
      <c r="B86" s="82"/>
      <c r="C86" s="82"/>
      <c r="D86" s="82"/>
      <c r="E86" s="82"/>
      <c r="F86" s="82"/>
    </row>
    <row r="87" spans="1:6" x14ac:dyDescent="0.25">
      <c r="A87" s="82"/>
      <c r="B87" s="82"/>
      <c r="C87" s="82"/>
      <c r="D87" s="82"/>
      <c r="E87" s="82"/>
      <c r="F87" s="82"/>
    </row>
    <row r="88" spans="1:6" x14ac:dyDescent="0.25">
      <c r="A88" s="82"/>
      <c r="B88" s="82"/>
      <c r="C88" s="82"/>
      <c r="D88" s="82"/>
      <c r="E88" s="82"/>
      <c r="F88" s="82"/>
    </row>
    <row r="89" spans="1:6" x14ac:dyDescent="0.25">
      <c r="A89" s="82"/>
      <c r="B89" s="82"/>
      <c r="C89" s="82"/>
      <c r="D89" s="82"/>
      <c r="E89" s="82"/>
      <c r="F89" s="82"/>
    </row>
    <row r="90" spans="1:6" x14ac:dyDescent="0.25">
      <c r="A90" s="82"/>
      <c r="B90" s="82"/>
      <c r="C90" s="82"/>
      <c r="D90" s="82"/>
      <c r="E90" s="82"/>
      <c r="F90" s="82"/>
    </row>
    <row r="91" spans="1:6" x14ac:dyDescent="0.25">
      <c r="A91" s="82"/>
      <c r="B91" s="82"/>
      <c r="C91" s="82"/>
      <c r="D91" s="82"/>
      <c r="E91" s="82"/>
      <c r="F91" s="82"/>
    </row>
    <row r="92" spans="1:6" x14ac:dyDescent="0.25">
      <c r="A92" s="82"/>
      <c r="B92" s="82"/>
      <c r="C92" s="82"/>
      <c r="D92" s="82"/>
      <c r="E92" s="82"/>
      <c r="F92" s="82"/>
    </row>
    <row r="93" spans="1:6" x14ac:dyDescent="0.25">
      <c r="A93" s="82"/>
      <c r="B93" s="82"/>
      <c r="C93" s="82"/>
      <c r="D93" s="82"/>
      <c r="E93" s="82"/>
      <c r="F93" s="82"/>
    </row>
    <row r="94" spans="1:6" x14ac:dyDescent="0.25">
      <c r="A94" s="82"/>
      <c r="B94" s="82"/>
      <c r="C94" s="82"/>
      <c r="D94" s="82"/>
      <c r="E94" s="82"/>
      <c r="F94" s="82"/>
    </row>
    <row r="95" spans="1:6" x14ac:dyDescent="0.25">
      <c r="A95" s="82"/>
      <c r="B95" s="82"/>
      <c r="C95" s="82"/>
      <c r="D95" s="82"/>
      <c r="E95" s="82"/>
      <c r="F95" s="82"/>
    </row>
    <row r="96" spans="1:6" x14ac:dyDescent="0.25">
      <c r="A96" s="82"/>
      <c r="B96" s="82"/>
      <c r="C96" s="82"/>
      <c r="D96" s="82"/>
      <c r="E96" s="82"/>
      <c r="F96" s="82"/>
    </row>
    <row r="97" spans="1:6" x14ac:dyDescent="0.25">
      <c r="A97" s="82"/>
      <c r="B97" s="82"/>
      <c r="C97" s="82"/>
      <c r="D97" s="82"/>
      <c r="E97" s="82"/>
      <c r="F97" s="82"/>
    </row>
    <row r="98" spans="1:6" x14ac:dyDescent="0.25">
      <c r="A98" s="82"/>
      <c r="B98" s="82"/>
      <c r="C98" s="82"/>
      <c r="D98" s="82"/>
      <c r="E98" s="82"/>
      <c r="F98" s="82"/>
    </row>
    <row r="99" spans="1:6" x14ac:dyDescent="0.25">
      <c r="A99" s="82"/>
      <c r="B99" s="82"/>
      <c r="C99" s="82"/>
      <c r="D99" s="82"/>
      <c r="E99" s="82"/>
      <c r="F99" s="82"/>
    </row>
    <row r="100" spans="1:6" x14ac:dyDescent="0.25">
      <c r="A100" s="82"/>
      <c r="B100" s="82"/>
      <c r="C100" s="82"/>
      <c r="D100" s="82"/>
      <c r="E100" s="82"/>
      <c r="F100" s="82"/>
    </row>
    <row r="101" spans="1:6" x14ac:dyDescent="0.25">
      <c r="A101" s="82"/>
      <c r="B101" s="82"/>
      <c r="C101" s="82"/>
      <c r="D101" s="82"/>
      <c r="E101" s="82"/>
      <c r="F101" s="82"/>
    </row>
    <row r="102" spans="1:6" x14ac:dyDescent="0.25">
      <c r="A102" s="82"/>
      <c r="B102" s="82"/>
      <c r="C102" s="82"/>
      <c r="D102" s="82"/>
      <c r="E102" s="82"/>
      <c r="F102" s="82"/>
    </row>
    <row r="103" spans="1:6" x14ac:dyDescent="0.25">
      <c r="A103" s="82"/>
      <c r="B103" s="82"/>
      <c r="C103" s="82"/>
      <c r="D103" s="82"/>
      <c r="E103" s="82"/>
      <c r="F103" s="82"/>
    </row>
    <row r="104" spans="1:6" x14ac:dyDescent="0.25">
      <c r="A104" s="82"/>
      <c r="B104" s="82"/>
      <c r="C104" s="82"/>
      <c r="D104" s="82"/>
      <c r="E104" s="82"/>
      <c r="F104" s="82"/>
    </row>
    <row r="105" spans="1:6" x14ac:dyDescent="0.25">
      <c r="A105" s="82"/>
      <c r="B105" s="82"/>
      <c r="C105" s="82"/>
      <c r="D105" s="82"/>
      <c r="E105" s="82"/>
      <c r="F105" s="82"/>
    </row>
    <row r="106" spans="1:6" x14ac:dyDescent="0.25">
      <c r="A106" s="82"/>
      <c r="B106" s="82"/>
      <c r="C106" s="82"/>
      <c r="D106" s="82"/>
      <c r="E106" s="82"/>
      <c r="F106" s="82"/>
    </row>
    <row r="107" spans="1:6" x14ac:dyDescent="0.25">
      <c r="A107" s="82"/>
      <c r="B107" s="82"/>
      <c r="C107" s="82"/>
      <c r="D107" s="82"/>
      <c r="E107" s="82"/>
      <c r="F107" s="82"/>
    </row>
    <row r="108" spans="1:6" x14ac:dyDescent="0.25">
      <c r="A108" s="82"/>
      <c r="B108" s="82"/>
      <c r="C108" s="82"/>
      <c r="D108" s="82"/>
      <c r="E108" s="82"/>
      <c r="F108" s="82"/>
    </row>
    <row r="109" spans="1:6" x14ac:dyDescent="0.25">
      <c r="A109" s="82"/>
      <c r="B109" s="82"/>
      <c r="C109" s="82"/>
      <c r="D109" s="82"/>
      <c r="E109" s="82"/>
      <c r="F109" s="82"/>
    </row>
    <row r="110" spans="1:6" x14ac:dyDescent="0.25">
      <c r="A110" s="82"/>
      <c r="B110" s="82"/>
      <c r="C110" s="82"/>
      <c r="D110" s="82"/>
      <c r="E110" s="82"/>
      <c r="F110" s="82"/>
    </row>
    <row r="111" spans="1:6" x14ac:dyDescent="0.25">
      <c r="A111" s="82"/>
      <c r="B111" s="82"/>
      <c r="C111" s="82"/>
      <c r="D111" s="82"/>
      <c r="E111" s="82"/>
      <c r="F111" s="82"/>
    </row>
    <row r="112" spans="1:6" x14ac:dyDescent="0.25">
      <c r="A112" s="82"/>
      <c r="B112" s="82"/>
      <c r="C112" s="82"/>
      <c r="D112" s="82"/>
      <c r="E112" s="82"/>
      <c r="F112" s="82"/>
    </row>
    <row r="113" spans="1:6" x14ac:dyDescent="0.25">
      <c r="A113" s="82"/>
      <c r="B113" s="82"/>
      <c r="C113" s="82"/>
      <c r="D113" s="82"/>
      <c r="E113" s="82"/>
      <c r="F113" s="82"/>
    </row>
    <row r="114" spans="1:6" x14ac:dyDescent="0.25">
      <c r="A114" s="82"/>
      <c r="B114" s="82"/>
      <c r="C114" s="82"/>
      <c r="D114" s="82"/>
      <c r="E114" s="82"/>
      <c r="F114" s="82"/>
    </row>
    <row r="115" spans="1:6" x14ac:dyDescent="0.25">
      <c r="A115" s="82"/>
      <c r="B115" s="82"/>
      <c r="C115" s="82"/>
      <c r="D115" s="82"/>
      <c r="E115" s="82"/>
      <c r="F115" s="82"/>
    </row>
    <row r="116" spans="1:6" x14ac:dyDescent="0.25">
      <c r="A116" s="82"/>
      <c r="B116" s="82"/>
      <c r="C116" s="82"/>
      <c r="D116" s="82"/>
      <c r="E116" s="82"/>
      <c r="F116" s="82"/>
    </row>
    <row r="117" spans="1:6" x14ac:dyDescent="0.25">
      <c r="A117" s="82"/>
      <c r="B117" s="82"/>
      <c r="C117" s="82"/>
      <c r="D117" s="82"/>
      <c r="E117" s="82"/>
      <c r="F117" s="82"/>
    </row>
    <row r="118" spans="1:6" x14ac:dyDescent="0.25">
      <c r="A118" s="82"/>
      <c r="B118" s="82"/>
      <c r="C118" s="82"/>
      <c r="D118" s="82"/>
      <c r="E118" s="82"/>
      <c r="F118" s="82"/>
    </row>
    <row r="119" spans="1:6" x14ac:dyDescent="0.25">
      <c r="A119" s="82"/>
      <c r="B119" s="82"/>
      <c r="C119" s="82"/>
      <c r="D119" s="82"/>
      <c r="E119" s="82"/>
      <c r="F119" s="82"/>
    </row>
    <row r="120" spans="1:6" x14ac:dyDescent="0.25">
      <c r="A120" s="82"/>
      <c r="B120" s="82"/>
      <c r="C120" s="82"/>
      <c r="D120" s="82"/>
      <c r="E120" s="82"/>
      <c r="F120" s="82"/>
    </row>
    <row r="121" spans="1:6" x14ac:dyDescent="0.25">
      <c r="A121" s="82"/>
      <c r="B121" s="82"/>
      <c r="C121" s="82"/>
      <c r="D121" s="82"/>
      <c r="E121" s="82"/>
      <c r="F121" s="82"/>
    </row>
    <row r="122" spans="1:6" x14ac:dyDescent="0.25">
      <c r="A122" s="82"/>
      <c r="B122" s="82"/>
      <c r="C122" s="82"/>
      <c r="D122" s="82"/>
      <c r="E122" s="82"/>
      <c r="F122" s="82"/>
    </row>
    <row r="123" spans="1:6" x14ac:dyDescent="0.25">
      <c r="A123" s="82"/>
      <c r="B123" s="82"/>
      <c r="C123" s="82"/>
      <c r="D123" s="82"/>
      <c r="E123" s="82"/>
      <c r="F123" s="82"/>
    </row>
    <row r="124" spans="1:6" x14ac:dyDescent="0.25">
      <c r="A124" s="82"/>
      <c r="B124" s="82"/>
      <c r="C124" s="82"/>
      <c r="D124" s="82"/>
      <c r="E124" s="82"/>
      <c r="F124" s="82"/>
    </row>
    <row r="125" spans="1:6" x14ac:dyDescent="0.25">
      <c r="A125" s="82"/>
      <c r="B125" s="82"/>
      <c r="C125" s="82"/>
      <c r="D125" s="82"/>
      <c r="E125" s="82"/>
      <c r="F125" s="82"/>
    </row>
    <row r="126" spans="1:6" x14ac:dyDescent="0.25">
      <c r="A126" s="82"/>
      <c r="B126" s="82"/>
      <c r="C126" s="82"/>
      <c r="D126" s="82"/>
      <c r="E126" s="82"/>
      <c r="F126" s="82"/>
    </row>
    <row r="127" spans="1:6" x14ac:dyDescent="0.25">
      <c r="A127" s="82"/>
      <c r="B127" s="82"/>
      <c r="C127" s="82"/>
      <c r="D127" s="82"/>
      <c r="E127" s="82"/>
      <c r="F127" s="82"/>
    </row>
    <row r="128" spans="1:6" x14ac:dyDescent="0.25">
      <c r="A128" s="82"/>
      <c r="B128" s="82"/>
      <c r="C128" s="82"/>
      <c r="D128" s="82"/>
      <c r="E128" s="82"/>
      <c r="F128" s="82"/>
    </row>
    <row r="129" spans="1:6" x14ac:dyDescent="0.25">
      <c r="A129" s="82"/>
      <c r="B129" s="82"/>
      <c r="C129" s="82"/>
      <c r="D129" s="82"/>
      <c r="E129" s="82"/>
      <c r="F129" s="82"/>
    </row>
    <row r="130" spans="1:6" x14ac:dyDescent="0.25">
      <c r="A130" s="82"/>
      <c r="B130" s="82"/>
      <c r="C130" s="82"/>
      <c r="D130" s="82"/>
      <c r="E130" s="82"/>
      <c r="F130" s="82"/>
    </row>
    <row r="131" spans="1:6" x14ac:dyDescent="0.25">
      <c r="A131" s="82"/>
      <c r="B131" s="82"/>
      <c r="C131" s="82"/>
      <c r="D131" s="82"/>
      <c r="E131" s="82"/>
      <c r="F131" s="82"/>
    </row>
    <row r="132" spans="1:6" x14ac:dyDescent="0.25">
      <c r="A132" s="82"/>
      <c r="B132" s="82"/>
      <c r="C132" s="82"/>
      <c r="D132" s="82"/>
      <c r="E132" s="82"/>
      <c r="F132" s="82"/>
    </row>
    <row r="133" spans="1:6" x14ac:dyDescent="0.25">
      <c r="A133" s="82"/>
      <c r="B133" s="82"/>
      <c r="C133" s="82"/>
      <c r="D133" s="82"/>
      <c r="E133" s="82"/>
      <c r="F133" s="82"/>
    </row>
    <row r="134" spans="1:6" x14ac:dyDescent="0.25">
      <c r="A134" s="82"/>
      <c r="B134" s="82"/>
      <c r="C134" s="82"/>
      <c r="D134" s="82"/>
      <c r="E134" s="82"/>
      <c r="F134" s="82"/>
    </row>
    <row r="135" spans="1:6" x14ac:dyDescent="0.25">
      <c r="A135" s="82"/>
      <c r="B135" s="82"/>
      <c r="C135" s="82"/>
      <c r="D135" s="82"/>
      <c r="E135" s="82"/>
      <c r="F135" s="82"/>
    </row>
    <row r="136" spans="1:6" x14ac:dyDescent="0.25">
      <c r="A136" s="82"/>
      <c r="B136" s="82"/>
      <c r="C136" s="82"/>
      <c r="D136" s="82"/>
      <c r="E136" s="82"/>
      <c r="F136" s="82"/>
    </row>
    <row r="137" spans="1:6" x14ac:dyDescent="0.25">
      <c r="A137" s="82"/>
      <c r="B137" s="82"/>
      <c r="C137" s="82"/>
      <c r="D137" s="82"/>
      <c r="E137" s="82"/>
      <c r="F137" s="82"/>
    </row>
    <row r="138" spans="1:6" x14ac:dyDescent="0.25">
      <c r="A138" s="82"/>
      <c r="B138" s="82"/>
      <c r="C138" s="82"/>
      <c r="D138" s="82"/>
      <c r="E138" s="82"/>
      <c r="F138" s="82"/>
    </row>
    <row r="139" spans="1:6" x14ac:dyDescent="0.25">
      <c r="A139" s="82"/>
      <c r="B139" s="82"/>
      <c r="C139" s="82"/>
      <c r="D139" s="82"/>
      <c r="E139" s="82"/>
      <c r="F139" s="82"/>
    </row>
    <row r="140" spans="1:6" x14ac:dyDescent="0.25">
      <c r="A140" s="82"/>
      <c r="B140" s="82"/>
      <c r="C140" s="82"/>
      <c r="D140" s="82"/>
      <c r="E140" s="82"/>
      <c r="F140" s="82"/>
    </row>
    <row r="141" spans="1:6" x14ac:dyDescent="0.25">
      <c r="A141" s="82"/>
      <c r="B141" s="82"/>
      <c r="C141" s="82"/>
      <c r="D141" s="82"/>
      <c r="E141" s="82"/>
      <c r="F141" s="82"/>
    </row>
    <row r="142" spans="1:6" x14ac:dyDescent="0.25">
      <c r="A142" s="82"/>
      <c r="B142" s="82"/>
      <c r="C142" s="82"/>
      <c r="D142" s="82"/>
      <c r="E142" s="82"/>
      <c r="F142" s="82"/>
    </row>
    <row r="143" spans="1:6" x14ac:dyDescent="0.25">
      <c r="A143" s="82"/>
      <c r="B143" s="82"/>
      <c r="C143" s="82"/>
      <c r="D143" s="82"/>
      <c r="E143" s="82"/>
      <c r="F143" s="82"/>
    </row>
    <row r="144" spans="1:6" x14ac:dyDescent="0.25">
      <c r="A144" s="82"/>
      <c r="B144" s="82"/>
      <c r="C144" s="82"/>
      <c r="D144" s="82"/>
      <c r="E144" s="82"/>
      <c r="F144" s="82"/>
    </row>
    <row r="145" spans="1:6" x14ac:dyDescent="0.25">
      <c r="A145" s="82"/>
      <c r="B145" s="82"/>
      <c r="C145" s="82"/>
      <c r="D145" s="82"/>
      <c r="E145" s="82"/>
      <c r="F145" s="82"/>
    </row>
    <row r="146" spans="1:6" x14ac:dyDescent="0.25">
      <c r="A146" s="82"/>
      <c r="B146" s="82"/>
      <c r="C146" s="82"/>
      <c r="D146" s="82"/>
      <c r="E146" s="82"/>
      <c r="F146" s="82"/>
    </row>
    <row r="147" spans="1:6" x14ac:dyDescent="0.25">
      <c r="A147" s="82"/>
      <c r="B147" s="82"/>
      <c r="C147" s="82"/>
      <c r="D147" s="82"/>
      <c r="E147" s="82"/>
      <c r="F147" s="82"/>
    </row>
    <row r="148" spans="1:6" x14ac:dyDescent="0.25">
      <c r="A148" s="82"/>
      <c r="B148" s="82"/>
      <c r="C148" s="82"/>
      <c r="D148" s="82"/>
      <c r="E148" s="82"/>
      <c r="F148" s="82"/>
    </row>
    <row r="149" spans="1:6" x14ac:dyDescent="0.25">
      <c r="A149" s="82"/>
      <c r="B149" s="82"/>
      <c r="C149" s="82"/>
      <c r="D149" s="82"/>
      <c r="E149" s="82"/>
      <c r="F149" s="82"/>
    </row>
    <row r="150" spans="1:6" x14ac:dyDescent="0.25">
      <c r="A150" s="82"/>
      <c r="B150" s="82"/>
      <c r="C150" s="82"/>
      <c r="D150" s="82"/>
      <c r="E150" s="82"/>
      <c r="F150" s="82"/>
    </row>
    <row r="151" spans="1:6" x14ac:dyDescent="0.25">
      <c r="A151" s="82"/>
      <c r="B151" s="82"/>
      <c r="C151" s="82"/>
      <c r="D151" s="82"/>
      <c r="E151" s="82"/>
      <c r="F151" s="82"/>
    </row>
    <row r="152" spans="1:6" x14ac:dyDescent="0.25">
      <c r="A152" s="82"/>
      <c r="B152" s="82"/>
      <c r="C152" s="82"/>
      <c r="D152" s="82"/>
      <c r="E152" s="82"/>
      <c r="F152" s="82"/>
    </row>
    <row r="153" spans="1:6" x14ac:dyDescent="0.25">
      <c r="A153" s="82"/>
      <c r="B153" s="82"/>
      <c r="C153" s="82"/>
      <c r="D153" s="82"/>
      <c r="E153" s="82"/>
      <c r="F153" s="82"/>
    </row>
    <row r="154" spans="1:6" x14ac:dyDescent="0.25">
      <c r="A154" s="82"/>
      <c r="B154" s="82"/>
      <c r="C154" s="82"/>
      <c r="D154" s="82"/>
      <c r="E154" s="82"/>
      <c r="F154" s="82"/>
    </row>
    <row r="155" spans="1:6" x14ac:dyDescent="0.25">
      <c r="A155" s="82"/>
      <c r="B155" s="82"/>
      <c r="C155" s="82"/>
      <c r="D155" s="82"/>
      <c r="E155" s="82"/>
      <c r="F155" s="82"/>
    </row>
    <row r="156" spans="1:6" x14ac:dyDescent="0.25">
      <c r="A156" s="82"/>
      <c r="B156" s="82"/>
      <c r="C156" s="82"/>
      <c r="D156" s="82"/>
      <c r="E156" s="82"/>
      <c r="F156" s="82"/>
    </row>
    <row r="157" spans="1:6" x14ac:dyDescent="0.25">
      <c r="A157" s="82"/>
      <c r="B157" s="82"/>
      <c r="C157" s="82"/>
      <c r="D157" s="82"/>
      <c r="E157" s="82"/>
      <c r="F157" s="82"/>
    </row>
    <row r="158" spans="1:6" x14ac:dyDescent="0.25">
      <c r="A158" s="82"/>
      <c r="B158" s="82"/>
      <c r="C158" s="82"/>
      <c r="D158" s="82"/>
      <c r="E158" s="82"/>
      <c r="F158" s="82"/>
    </row>
    <row r="159" spans="1:6" x14ac:dyDescent="0.25">
      <c r="A159" s="82"/>
      <c r="B159" s="82"/>
      <c r="C159" s="82"/>
      <c r="D159" s="82"/>
      <c r="E159" s="82"/>
      <c r="F159" s="82"/>
    </row>
    <row r="160" spans="1:6" x14ac:dyDescent="0.25">
      <c r="A160" s="82"/>
      <c r="B160" s="82"/>
      <c r="C160" s="82"/>
      <c r="D160" s="82"/>
      <c r="E160" s="82"/>
      <c r="F160" s="82"/>
    </row>
    <row r="161" spans="1:6" x14ac:dyDescent="0.25">
      <c r="A161" s="82"/>
      <c r="B161" s="82"/>
      <c r="C161" s="82"/>
      <c r="D161" s="82"/>
      <c r="E161" s="82"/>
      <c r="F161" s="82"/>
    </row>
    <row r="162" spans="1:6" x14ac:dyDescent="0.25">
      <c r="A162" s="82"/>
      <c r="B162" s="82"/>
      <c r="C162" s="82"/>
      <c r="D162" s="82"/>
      <c r="E162" s="82"/>
      <c r="F162" s="82"/>
    </row>
    <row r="163" spans="1:6" x14ac:dyDescent="0.25">
      <c r="A163" s="82"/>
      <c r="B163" s="82"/>
      <c r="C163" s="82"/>
      <c r="D163" s="82"/>
      <c r="E163" s="82"/>
      <c r="F163" s="82"/>
    </row>
    <row r="164" spans="1:6" x14ac:dyDescent="0.25">
      <c r="A164" s="82"/>
      <c r="B164" s="82"/>
      <c r="C164" s="82"/>
      <c r="D164" s="82"/>
      <c r="E164" s="82"/>
      <c r="F164" s="82"/>
    </row>
    <row r="165" spans="1:6" x14ac:dyDescent="0.25">
      <c r="A165" s="82"/>
      <c r="B165" s="82"/>
      <c r="C165" s="82"/>
      <c r="D165" s="82"/>
      <c r="E165" s="82"/>
      <c r="F165" s="82"/>
    </row>
    <row r="166" spans="1:6" x14ac:dyDescent="0.25">
      <c r="A166" s="82"/>
      <c r="B166" s="82"/>
      <c r="C166" s="82"/>
      <c r="D166" s="82"/>
      <c r="E166" s="82"/>
      <c r="F166" s="82"/>
    </row>
    <row r="167" spans="1:6" x14ac:dyDescent="0.25">
      <c r="A167" s="82"/>
      <c r="B167" s="82"/>
      <c r="C167" s="82"/>
      <c r="D167" s="82"/>
      <c r="E167" s="82"/>
      <c r="F167" s="82"/>
    </row>
    <row r="168" spans="1:6" x14ac:dyDescent="0.25">
      <c r="A168" s="82"/>
      <c r="B168" s="82"/>
      <c r="C168" s="82"/>
      <c r="D168" s="82"/>
      <c r="E168" s="82"/>
      <c r="F168" s="82"/>
    </row>
    <row r="169" spans="1:6" x14ac:dyDescent="0.25">
      <c r="A169" s="82"/>
      <c r="B169" s="82"/>
      <c r="C169" s="82"/>
      <c r="D169" s="82"/>
      <c r="E169" s="82"/>
      <c r="F169" s="82"/>
    </row>
    <row r="170" spans="1:6" x14ac:dyDescent="0.25">
      <c r="A170" s="82"/>
      <c r="B170" s="82"/>
      <c r="C170" s="82"/>
      <c r="D170" s="82"/>
      <c r="E170" s="82"/>
      <c r="F170" s="82"/>
    </row>
    <row r="171" spans="1:6" x14ac:dyDescent="0.25">
      <c r="A171" s="82"/>
      <c r="B171" s="82"/>
      <c r="C171" s="82"/>
      <c r="D171" s="82"/>
      <c r="E171" s="82"/>
      <c r="F171" s="82"/>
    </row>
    <row r="172" spans="1:6" x14ac:dyDescent="0.25">
      <c r="A172" s="82"/>
      <c r="B172" s="82"/>
      <c r="C172" s="82"/>
      <c r="D172" s="82"/>
      <c r="E172" s="82"/>
      <c r="F172" s="82"/>
    </row>
    <row r="173" spans="1:6" x14ac:dyDescent="0.25">
      <c r="A173" s="82"/>
      <c r="B173" s="82"/>
      <c r="C173" s="82"/>
      <c r="D173" s="82"/>
      <c r="E173" s="82"/>
      <c r="F173" s="82"/>
    </row>
    <row r="174" spans="1:6" x14ac:dyDescent="0.25">
      <c r="A174" s="82"/>
      <c r="B174" s="82"/>
      <c r="C174" s="82"/>
      <c r="D174" s="82"/>
      <c r="E174" s="82"/>
      <c r="F174" s="82"/>
    </row>
    <row r="175" spans="1:6" x14ac:dyDescent="0.25">
      <c r="A175" s="82"/>
      <c r="B175" s="82"/>
      <c r="C175" s="82"/>
      <c r="D175" s="82"/>
      <c r="E175" s="82"/>
      <c r="F175" s="82"/>
    </row>
    <row r="176" spans="1:6" x14ac:dyDescent="0.25">
      <c r="A176" s="82"/>
      <c r="B176" s="82"/>
      <c r="C176" s="82"/>
      <c r="D176" s="82"/>
      <c r="E176" s="82"/>
      <c r="F176" s="82"/>
    </row>
    <row r="177" spans="1:6" x14ac:dyDescent="0.25">
      <c r="A177" s="82"/>
      <c r="B177" s="82"/>
      <c r="C177" s="82"/>
      <c r="D177" s="82"/>
      <c r="E177" s="82"/>
      <c r="F177" s="82"/>
    </row>
    <row r="178" spans="1:6" x14ac:dyDescent="0.25">
      <c r="A178" s="82"/>
      <c r="B178" s="82"/>
      <c r="C178" s="82"/>
      <c r="D178" s="82"/>
      <c r="E178" s="82"/>
      <c r="F178" s="82"/>
    </row>
    <row r="179" spans="1:6" x14ac:dyDescent="0.25">
      <c r="A179" s="82"/>
      <c r="B179" s="82"/>
      <c r="C179" s="82"/>
      <c r="D179" s="82"/>
      <c r="E179" s="82"/>
      <c r="F179" s="82"/>
    </row>
    <row r="180" spans="1:6" x14ac:dyDescent="0.25">
      <c r="A180" s="82"/>
      <c r="B180" s="82"/>
      <c r="C180" s="82"/>
      <c r="D180" s="82"/>
      <c r="E180" s="82"/>
      <c r="F180" s="82"/>
    </row>
    <row r="181" spans="1:6" x14ac:dyDescent="0.25">
      <c r="A181" s="82"/>
      <c r="B181" s="82"/>
      <c r="C181" s="82"/>
      <c r="D181" s="82"/>
      <c r="E181" s="82"/>
      <c r="F181" s="82"/>
    </row>
    <row r="182" spans="1:6" x14ac:dyDescent="0.25">
      <c r="A182" s="82"/>
      <c r="B182" s="82"/>
      <c r="C182" s="82"/>
      <c r="D182" s="82"/>
      <c r="E182" s="82"/>
      <c r="F182" s="82"/>
    </row>
    <row r="183" spans="1:6" x14ac:dyDescent="0.25">
      <c r="A183" s="82"/>
      <c r="B183" s="82"/>
      <c r="C183" s="82"/>
      <c r="D183" s="82"/>
      <c r="E183" s="82"/>
      <c r="F183" s="82"/>
    </row>
    <row r="184" spans="1:6" x14ac:dyDescent="0.25">
      <c r="A184" s="82"/>
      <c r="B184" s="82"/>
      <c r="C184" s="82"/>
      <c r="D184" s="82"/>
      <c r="E184" s="82"/>
      <c r="F184" s="82"/>
    </row>
    <row r="185" spans="1:6" x14ac:dyDescent="0.25">
      <c r="A185" s="82"/>
      <c r="B185" s="82"/>
      <c r="C185" s="82"/>
      <c r="D185" s="82"/>
      <c r="E185" s="82"/>
      <c r="F185" s="82"/>
    </row>
    <row r="186" spans="1:6" x14ac:dyDescent="0.25">
      <c r="A186" s="82"/>
      <c r="B186" s="82"/>
      <c r="C186" s="82"/>
      <c r="D186" s="82"/>
      <c r="E186" s="82"/>
      <c r="F186" s="82"/>
    </row>
    <row r="187" spans="1:6" x14ac:dyDescent="0.25">
      <c r="A187" s="82"/>
      <c r="B187" s="82"/>
      <c r="C187" s="82"/>
      <c r="D187" s="82"/>
      <c r="E187" s="82"/>
      <c r="F187" s="82"/>
    </row>
    <row r="188" spans="1:6" x14ac:dyDescent="0.25">
      <c r="A188" s="82"/>
      <c r="B188" s="82"/>
      <c r="C188" s="82"/>
      <c r="D188" s="82"/>
      <c r="E188" s="82"/>
      <c r="F188" s="82"/>
    </row>
    <row r="189" spans="1:6" x14ac:dyDescent="0.25">
      <c r="A189" s="82"/>
      <c r="B189" s="82"/>
      <c r="C189" s="82"/>
      <c r="D189" s="82"/>
      <c r="E189" s="82"/>
      <c r="F189" s="82"/>
    </row>
    <row r="190" spans="1:6" x14ac:dyDescent="0.25">
      <c r="A190" s="82"/>
      <c r="B190" s="82"/>
      <c r="C190" s="82"/>
      <c r="D190" s="82"/>
      <c r="E190" s="82"/>
      <c r="F190" s="82"/>
    </row>
    <row r="191" spans="1:6" x14ac:dyDescent="0.25">
      <c r="A191" s="82"/>
      <c r="B191" s="82"/>
      <c r="C191" s="82"/>
      <c r="D191" s="82"/>
      <c r="E191" s="82"/>
      <c r="F191" s="82"/>
    </row>
    <row r="192" spans="1:6" x14ac:dyDescent="0.25">
      <c r="A192" s="82"/>
      <c r="B192" s="82"/>
      <c r="C192" s="82"/>
      <c r="D192" s="82"/>
      <c r="E192" s="82"/>
      <c r="F192" s="82"/>
    </row>
    <row r="193" spans="1:6" x14ac:dyDescent="0.25">
      <c r="A193" s="82"/>
      <c r="B193" s="82"/>
      <c r="C193" s="82"/>
      <c r="D193" s="82"/>
      <c r="E193" s="82"/>
      <c r="F193" s="82"/>
    </row>
    <row r="194" spans="1:6" x14ac:dyDescent="0.25">
      <c r="A194" s="82"/>
      <c r="B194" s="82"/>
      <c r="C194" s="82"/>
      <c r="D194" s="82"/>
      <c r="E194" s="82"/>
      <c r="F194" s="82"/>
    </row>
    <row r="195" spans="1:6" x14ac:dyDescent="0.25">
      <c r="A195" s="82"/>
      <c r="B195" s="82"/>
      <c r="C195" s="82"/>
      <c r="D195" s="82"/>
      <c r="E195" s="82"/>
      <c r="F195" s="82"/>
    </row>
    <row r="196" spans="1:6" x14ac:dyDescent="0.25">
      <c r="A196" s="82"/>
      <c r="B196" s="82"/>
      <c r="C196" s="82"/>
      <c r="D196" s="82"/>
      <c r="E196" s="82"/>
      <c r="F196" s="82"/>
    </row>
    <row r="197" spans="1:6" x14ac:dyDescent="0.25">
      <c r="A197" s="82"/>
      <c r="B197" s="82"/>
      <c r="C197" s="82"/>
      <c r="D197" s="82"/>
      <c r="E197" s="82"/>
      <c r="F197" s="82"/>
    </row>
    <row r="198" spans="1:6" x14ac:dyDescent="0.25">
      <c r="A198" s="82"/>
      <c r="B198" s="82"/>
      <c r="C198" s="82"/>
      <c r="D198" s="82"/>
      <c r="E198" s="82"/>
      <c r="F198" s="82"/>
    </row>
    <row r="199" spans="1:6" x14ac:dyDescent="0.25">
      <c r="A199" s="82"/>
      <c r="B199" s="82"/>
      <c r="C199" s="82"/>
      <c r="D199" s="82"/>
      <c r="E199" s="82"/>
      <c r="F199" s="82"/>
    </row>
    <row r="200" spans="1:6" x14ac:dyDescent="0.25">
      <c r="A200" s="82"/>
      <c r="B200" s="82"/>
      <c r="C200" s="82"/>
      <c r="D200" s="82"/>
      <c r="E200" s="82"/>
      <c r="F200" s="82"/>
    </row>
    <row r="201" spans="1:6" x14ac:dyDescent="0.25">
      <c r="A201" s="82"/>
      <c r="B201" s="82"/>
      <c r="C201" s="82"/>
      <c r="D201" s="82"/>
      <c r="E201" s="82"/>
      <c r="F201" s="82"/>
    </row>
    <row r="202" spans="1:6" x14ac:dyDescent="0.25">
      <c r="A202" s="82"/>
      <c r="B202" s="82"/>
      <c r="C202" s="82"/>
      <c r="D202" s="82"/>
      <c r="E202" s="82"/>
      <c r="F202" s="82"/>
    </row>
    <row r="203" spans="1:6" x14ac:dyDescent="0.25">
      <c r="A203" s="82"/>
      <c r="B203" s="82"/>
      <c r="C203" s="82"/>
      <c r="D203" s="82"/>
      <c r="E203" s="82"/>
      <c r="F203" s="82"/>
    </row>
    <row r="204" spans="1:6" x14ac:dyDescent="0.25">
      <c r="A204" s="82"/>
      <c r="B204" s="82"/>
      <c r="C204" s="82"/>
      <c r="D204" s="82"/>
      <c r="E204" s="82"/>
      <c r="F204" s="82"/>
    </row>
    <row r="205" spans="1:6" x14ac:dyDescent="0.25">
      <c r="A205" s="82"/>
      <c r="B205" s="82"/>
      <c r="C205" s="82"/>
      <c r="E205" s="82"/>
      <c r="F205" s="82"/>
    </row>
    <row r="206" spans="1:6" x14ac:dyDescent="0.25">
      <c r="A206" s="82"/>
      <c r="B206" s="82"/>
      <c r="C206" s="82"/>
      <c r="E206" s="82"/>
      <c r="F206" s="82"/>
    </row>
    <row r="207" spans="1:6" x14ac:dyDescent="0.25">
      <c r="A207" s="82"/>
      <c r="B207" s="82"/>
      <c r="C207" s="82"/>
      <c r="E207" s="82"/>
      <c r="F207" s="82"/>
    </row>
  </sheetData>
  <sortState xmlns:xlrd2="http://schemas.microsoft.com/office/spreadsheetml/2017/richdata2" ref="D3:D99">
    <sortCondition ref="D2"/>
  </sortState>
  <mergeCells count="1"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14"/>
  <sheetViews>
    <sheetView topLeftCell="A99" zoomScale="70" zoomScaleNormal="70" workbookViewId="0">
      <selection activeCell="I113" sqref="I113"/>
    </sheetView>
  </sheetViews>
  <sheetFormatPr baseColWidth="10" defaultColWidth="11.42578125" defaultRowHeight="15" x14ac:dyDescent="0.25"/>
  <cols>
    <col min="1" max="1" width="11.85546875" style="2" customWidth="1"/>
    <col min="2" max="3" width="22.42578125" style="2" customWidth="1"/>
    <col min="4" max="4" width="14" style="2" customWidth="1"/>
    <col min="5" max="5" width="40.5703125" style="42" bestFit="1" customWidth="1"/>
    <col min="6" max="6" width="16.7109375" style="2" customWidth="1"/>
    <col min="7" max="7" width="38.5703125" style="2" customWidth="1"/>
    <col min="8" max="13" width="14" style="2" customWidth="1"/>
    <col min="14" max="14" width="24.28515625" style="2" customWidth="1"/>
    <col min="15" max="15" width="12.5703125" style="2" customWidth="1"/>
    <col min="16" max="16384" width="11.42578125" style="2"/>
  </cols>
  <sheetData>
    <row r="2" spans="1:11" x14ac:dyDescent="0.25">
      <c r="A2" s="2" t="s">
        <v>95</v>
      </c>
      <c r="B2" s="141" t="s">
        <v>1</v>
      </c>
      <c r="C2" s="142"/>
      <c r="D2" s="142"/>
      <c r="E2" s="142"/>
      <c r="F2" s="142"/>
      <c r="G2" s="142"/>
      <c r="H2" s="142"/>
      <c r="I2" s="142"/>
      <c r="J2" s="142"/>
      <c r="K2" s="143"/>
    </row>
    <row r="3" spans="1:11" ht="60" x14ac:dyDescent="0.25">
      <c r="A3" s="2">
        <f>COUNT(A4:A183)/4</f>
        <v>45</v>
      </c>
      <c r="B3" s="69" t="s">
        <v>2</v>
      </c>
      <c r="C3" s="69" t="s">
        <v>16</v>
      </c>
      <c r="D3" s="69" t="s">
        <v>20</v>
      </c>
      <c r="E3" s="69" t="s">
        <v>23</v>
      </c>
      <c r="F3" s="69" t="s">
        <v>0</v>
      </c>
      <c r="G3" s="69" t="s">
        <v>25</v>
      </c>
      <c r="H3" s="69" t="s">
        <v>8</v>
      </c>
      <c r="I3" s="69" t="s">
        <v>58</v>
      </c>
      <c r="J3" s="70"/>
      <c r="K3" s="70" t="s">
        <v>11</v>
      </c>
    </row>
    <row r="4" spans="1:11" x14ac:dyDescent="0.25">
      <c r="A4" s="2">
        <v>1</v>
      </c>
      <c r="B4" s="99" t="s">
        <v>35</v>
      </c>
      <c r="C4" s="99" t="s">
        <v>21</v>
      </c>
      <c r="D4" s="99" t="s">
        <v>32</v>
      </c>
      <c r="E4" s="100" t="s">
        <v>97</v>
      </c>
      <c r="F4" s="99" t="s">
        <v>105</v>
      </c>
      <c r="G4" s="100" t="str">
        <f t="shared" ref="G4:G163" si="0">CONCATENATE(B4,C4,D4,E4,F4)</f>
        <v>NuevoDTCoreAnalisis Codigo AnteriorTrivial</v>
      </c>
      <c r="H4" s="99">
        <f t="shared" ref="H4:H87" si="1">I4/8</f>
        <v>3.125E-2</v>
      </c>
      <c r="I4" s="99">
        <v>0.25</v>
      </c>
      <c r="J4" s="99"/>
      <c r="K4" s="99"/>
    </row>
    <row r="5" spans="1:11" x14ac:dyDescent="0.25">
      <c r="A5" s="2">
        <v>2</v>
      </c>
      <c r="B5" s="99" t="s">
        <v>35</v>
      </c>
      <c r="C5" s="99" t="s">
        <v>21</v>
      </c>
      <c r="D5" s="99" t="s">
        <v>32</v>
      </c>
      <c r="E5" s="100" t="s">
        <v>97</v>
      </c>
      <c r="F5" s="99" t="s">
        <v>39</v>
      </c>
      <c r="G5" s="100" t="str">
        <f t="shared" si="0"/>
        <v>NuevoDTCoreAnalisis Codigo AnteriorBaja</v>
      </c>
      <c r="H5" s="99">
        <f t="shared" si="1"/>
        <v>0.625</v>
      </c>
      <c r="I5" s="99">
        <v>5</v>
      </c>
      <c r="J5" s="99"/>
      <c r="K5" s="99"/>
    </row>
    <row r="6" spans="1:11" x14ac:dyDescent="0.25">
      <c r="A6" s="2">
        <v>3</v>
      </c>
      <c r="B6" s="99" t="s">
        <v>35</v>
      </c>
      <c r="C6" s="99" t="s">
        <v>21</v>
      </c>
      <c r="D6" s="99" t="s">
        <v>32</v>
      </c>
      <c r="E6" s="100" t="s">
        <v>97</v>
      </c>
      <c r="F6" s="99" t="s">
        <v>38</v>
      </c>
      <c r="G6" s="100" t="str">
        <f t="shared" si="0"/>
        <v>NuevoDTCoreAnalisis Codigo AnteriorMedia</v>
      </c>
      <c r="H6" s="99">
        <f t="shared" si="1"/>
        <v>1.25</v>
      </c>
      <c r="I6" s="99">
        <v>10</v>
      </c>
      <c r="J6" s="99"/>
      <c r="K6" s="99"/>
    </row>
    <row r="7" spans="1:11" x14ac:dyDescent="0.25">
      <c r="A7" s="2">
        <v>4</v>
      </c>
      <c r="B7" s="99" t="s">
        <v>35</v>
      </c>
      <c r="C7" s="99" t="s">
        <v>21</v>
      </c>
      <c r="D7" s="99" t="s">
        <v>32</v>
      </c>
      <c r="E7" s="100" t="s">
        <v>97</v>
      </c>
      <c r="F7" s="99" t="s">
        <v>37</v>
      </c>
      <c r="G7" s="100" t="str">
        <f t="shared" si="0"/>
        <v>NuevoDTCoreAnalisis Codigo AnteriorAlta</v>
      </c>
      <c r="H7" s="99">
        <f t="shared" si="1"/>
        <v>2</v>
      </c>
      <c r="I7" s="99">
        <v>16</v>
      </c>
      <c r="J7" s="99"/>
      <c r="K7" s="99"/>
    </row>
    <row r="8" spans="1:11" x14ac:dyDescent="0.25">
      <c r="A8" s="2">
        <v>5</v>
      </c>
      <c r="B8" s="101" t="s">
        <v>35</v>
      </c>
      <c r="C8" s="101" t="s">
        <v>21</v>
      </c>
      <c r="D8" s="101" t="s">
        <v>32</v>
      </c>
      <c r="E8" s="102" t="s">
        <v>76</v>
      </c>
      <c r="F8" s="101" t="s">
        <v>105</v>
      </c>
      <c r="G8" s="102" t="str">
        <f t="shared" si="0"/>
        <v>NuevoDTCoreAnalisis FuncionalTrivial</v>
      </c>
      <c r="H8" s="101">
        <f t="shared" si="1"/>
        <v>3.125E-2</v>
      </c>
      <c r="I8" s="101">
        <v>0.25</v>
      </c>
      <c r="J8" s="101"/>
      <c r="K8" s="101"/>
    </row>
    <row r="9" spans="1:11" x14ac:dyDescent="0.25">
      <c r="A9" s="2">
        <v>6</v>
      </c>
      <c r="B9" s="101" t="s">
        <v>35</v>
      </c>
      <c r="C9" s="101" t="s">
        <v>21</v>
      </c>
      <c r="D9" s="101" t="s">
        <v>32</v>
      </c>
      <c r="E9" s="102" t="s">
        <v>76</v>
      </c>
      <c r="F9" s="101" t="s">
        <v>39</v>
      </c>
      <c r="G9" s="102" t="str">
        <f t="shared" si="0"/>
        <v>NuevoDTCoreAnalisis FuncionalBaja</v>
      </c>
      <c r="H9" s="101">
        <f t="shared" si="1"/>
        <v>0.375</v>
      </c>
      <c r="I9" s="101">
        <v>3</v>
      </c>
      <c r="J9" s="101"/>
      <c r="K9" s="101"/>
    </row>
    <row r="10" spans="1:11" x14ac:dyDescent="0.25">
      <c r="A10" s="2">
        <v>7</v>
      </c>
      <c r="B10" s="101" t="s">
        <v>35</v>
      </c>
      <c r="C10" s="101" t="s">
        <v>21</v>
      </c>
      <c r="D10" s="101" t="s">
        <v>32</v>
      </c>
      <c r="E10" s="102" t="s">
        <v>76</v>
      </c>
      <c r="F10" s="101" t="s">
        <v>38</v>
      </c>
      <c r="G10" s="102" t="str">
        <f t="shared" si="0"/>
        <v>NuevoDTCoreAnalisis FuncionalMedia</v>
      </c>
      <c r="H10" s="101">
        <f t="shared" si="1"/>
        <v>0.625</v>
      </c>
      <c r="I10" s="101">
        <v>5</v>
      </c>
      <c r="J10" s="101"/>
      <c r="K10" s="101"/>
    </row>
    <row r="11" spans="1:11" x14ac:dyDescent="0.25">
      <c r="A11" s="2">
        <v>8</v>
      </c>
      <c r="B11" s="101" t="s">
        <v>35</v>
      </c>
      <c r="C11" s="101" t="s">
        <v>21</v>
      </c>
      <c r="D11" s="101" t="s">
        <v>32</v>
      </c>
      <c r="E11" s="102" t="s">
        <v>76</v>
      </c>
      <c r="F11" s="101" t="s">
        <v>37</v>
      </c>
      <c r="G11" s="102" t="str">
        <f t="shared" si="0"/>
        <v>NuevoDTCoreAnalisis FuncionalAlta</v>
      </c>
      <c r="H11" s="101">
        <f t="shared" si="1"/>
        <v>0.875</v>
      </c>
      <c r="I11" s="101">
        <v>7</v>
      </c>
      <c r="J11" s="101"/>
      <c r="K11" s="101"/>
    </row>
    <row r="12" spans="1:11" x14ac:dyDescent="0.25">
      <c r="A12" s="2">
        <v>9</v>
      </c>
      <c r="B12" s="99" t="s">
        <v>35</v>
      </c>
      <c r="C12" s="99" t="s">
        <v>21</v>
      </c>
      <c r="D12" s="99" t="s">
        <v>32</v>
      </c>
      <c r="E12" s="100" t="s">
        <v>74</v>
      </c>
      <c r="F12" s="99" t="s">
        <v>105</v>
      </c>
      <c r="G12" s="100" t="str">
        <f t="shared" si="0"/>
        <v>NuevoDTCoreDocumentacion Funcional ServicioTrivial</v>
      </c>
      <c r="H12" s="99">
        <f t="shared" si="1"/>
        <v>3.125E-2</v>
      </c>
      <c r="I12" s="99">
        <v>0.25</v>
      </c>
      <c r="J12" s="99"/>
      <c r="K12" s="99"/>
    </row>
    <row r="13" spans="1:11" x14ac:dyDescent="0.25">
      <c r="A13" s="2">
        <v>10</v>
      </c>
      <c r="B13" s="99" t="s">
        <v>35</v>
      </c>
      <c r="C13" s="99" t="s">
        <v>21</v>
      </c>
      <c r="D13" s="99" t="s">
        <v>32</v>
      </c>
      <c r="E13" s="100" t="s">
        <v>74</v>
      </c>
      <c r="F13" s="99" t="s">
        <v>39</v>
      </c>
      <c r="G13" s="100" t="str">
        <f t="shared" si="0"/>
        <v>NuevoDTCoreDocumentacion Funcional ServicioBaja</v>
      </c>
      <c r="H13" s="99">
        <f t="shared" si="1"/>
        <v>0.125</v>
      </c>
      <c r="I13" s="99">
        <v>1</v>
      </c>
      <c r="J13" s="99"/>
      <c r="K13" s="99"/>
    </row>
    <row r="14" spans="1:11" x14ac:dyDescent="0.25">
      <c r="A14" s="2">
        <v>11</v>
      </c>
      <c r="B14" s="99" t="s">
        <v>35</v>
      </c>
      <c r="C14" s="99" t="s">
        <v>21</v>
      </c>
      <c r="D14" s="99" t="s">
        <v>32</v>
      </c>
      <c r="E14" s="100" t="s">
        <v>74</v>
      </c>
      <c r="F14" s="99" t="s">
        <v>38</v>
      </c>
      <c r="G14" s="100" t="str">
        <f t="shared" si="0"/>
        <v>NuevoDTCoreDocumentacion Funcional ServicioMedia</v>
      </c>
      <c r="H14" s="99">
        <f t="shared" si="1"/>
        <v>0.25</v>
      </c>
      <c r="I14" s="99">
        <v>2</v>
      </c>
      <c r="J14" s="99"/>
      <c r="K14" s="99"/>
    </row>
    <row r="15" spans="1:11" x14ac:dyDescent="0.25">
      <c r="A15" s="2">
        <v>12</v>
      </c>
      <c r="B15" s="99" t="s">
        <v>35</v>
      </c>
      <c r="C15" s="99" t="s">
        <v>21</v>
      </c>
      <c r="D15" s="99" t="s">
        <v>32</v>
      </c>
      <c r="E15" s="100" t="s">
        <v>74</v>
      </c>
      <c r="F15" s="99" t="s">
        <v>37</v>
      </c>
      <c r="G15" s="100" t="str">
        <f t="shared" si="0"/>
        <v>NuevoDTCoreDocumentacion Funcional ServicioAlta</v>
      </c>
      <c r="H15" s="99">
        <f t="shared" si="1"/>
        <v>0.375</v>
      </c>
      <c r="I15" s="99">
        <v>3</v>
      </c>
      <c r="J15" s="99"/>
      <c r="K15" s="99"/>
    </row>
    <row r="16" spans="1:11" x14ac:dyDescent="0.25">
      <c r="A16" s="2">
        <v>13</v>
      </c>
      <c r="B16" s="101" t="s">
        <v>35</v>
      </c>
      <c r="C16" s="101" t="s">
        <v>21</v>
      </c>
      <c r="D16" s="101" t="s">
        <v>32</v>
      </c>
      <c r="E16" s="102" t="s">
        <v>75</v>
      </c>
      <c r="F16" s="101" t="s">
        <v>105</v>
      </c>
      <c r="G16" s="102" t="str">
        <f t="shared" si="0"/>
        <v>NuevoDTCoreDocumentacion Funcional BatchTrivial</v>
      </c>
      <c r="H16" s="101">
        <f t="shared" si="1"/>
        <v>3.125E-2</v>
      </c>
      <c r="I16" s="101">
        <v>0.25</v>
      </c>
      <c r="J16" s="101"/>
      <c r="K16" s="101"/>
    </row>
    <row r="17" spans="1:11" x14ac:dyDescent="0.25">
      <c r="A17" s="2">
        <v>14</v>
      </c>
      <c r="B17" s="101" t="s">
        <v>35</v>
      </c>
      <c r="C17" s="101" t="s">
        <v>21</v>
      </c>
      <c r="D17" s="101" t="s">
        <v>32</v>
      </c>
      <c r="E17" s="102" t="s">
        <v>75</v>
      </c>
      <c r="F17" s="101" t="s">
        <v>39</v>
      </c>
      <c r="G17" s="102" t="str">
        <f t="shared" si="0"/>
        <v>NuevoDTCoreDocumentacion Funcional BatchBaja</v>
      </c>
      <c r="H17" s="101">
        <f t="shared" si="1"/>
        <v>0.125</v>
      </c>
      <c r="I17" s="101">
        <v>1</v>
      </c>
      <c r="J17" s="101"/>
      <c r="K17" s="101"/>
    </row>
    <row r="18" spans="1:11" x14ac:dyDescent="0.25">
      <c r="A18" s="2">
        <v>15</v>
      </c>
      <c r="B18" s="101" t="s">
        <v>35</v>
      </c>
      <c r="C18" s="101" t="s">
        <v>21</v>
      </c>
      <c r="D18" s="101" t="s">
        <v>32</v>
      </c>
      <c r="E18" s="102" t="s">
        <v>75</v>
      </c>
      <c r="F18" s="101" t="s">
        <v>38</v>
      </c>
      <c r="G18" s="102" t="str">
        <f t="shared" si="0"/>
        <v>NuevoDTCoreDocumentacion Funcional BatchMedia</v>
      </c>
      <c r="H18" s="101">
        <f t="shared" si="1"/>
        <v>0.25</v>
      </c>
      <c r="I18" s="101">
        <v>2</v>
      </c>
      <c r="J18" s="101"/>
      <c r="K18" s="101"/>
    </row>
    <row r="19" spans="1:11" x14ac:dyDescent="0.25">
      <c r="A19" s="2">
        <v>16</v>
      </c>
      <c r="B19" s="101" t="s">
        <v>35</v>
      </c>
      <c r="C19" s="101" t="s">
        <v>21</v>
      </c>
      <c r="D19" s="101" t="s">
        <v>32</v>
      </c>
      <c r="E19" s="102" t="s">
        <v>75</v>
      </c>
      <c r="F19" s="101" t="s">
        <v>37</v>
      </c>
      <c r="G19" s="102" t="str">
        <f t="shared" si="0"/>
        <v>NuevoDTCoreDocumentacion Funcional BatchAlta</v>
      </c>
      <c r="H19" s="101">
        <f t="shared" si="1"/>
        <v>0.375</v>
      </c>
      <c r="I19" s="101">
        <v>3</v>
      </c>
      <c r="J19" s="101"/>
      <c r="K19" s="101"/>
    </row>
    <row r="20" spans="1:11" x14ac:dyDescent="0.25">
      <c r="A20" s="2">
        <v>17</v>
      </c>
      <c r="B20" s="99" t="s">
        <v>35</v>
      </c>
      <c r="C20" s="99" t="s">
        <v>21</v>
      </c>
      <c r="D20" s="99" t="s">
        <v>32</v>
      </c>
      <c r="E20" s="100" t="s">
        <v>88</v>
      </c>
      <c r="F20" s="99" t="s">
        <v>105</v>
      </c>
      <c r="G20" s="100" t="str">
        <f t="shared" si="0"/>
        <v>NuevoDTCoreDocumentacion codigoTrivial</v>
      </c>
      <c r="H20" s="99">
        <f t="shared" si="1"/>
        <v>3.125E-2</v>
      </c>
      <c r="I20" s="99">
        <v>0.25</v>
      </c>
      <c r="J20" s="99"/>
      <c r="K20" s="99"/>
    </row>
    <row r="21" spans="1:11" x14ac:dyDescent="0.25">
      <c r="A21" s="2">
        <v>18</v>
      </c>
      <c r="B21" s="99" t="s">
        <v>35</v>
      </c>
      <c r="C21" s="99" t="s">
        <v>21</v>
      </c>
      <c r="D21" s="99" t="s">
        <v>32</v>
      </c>
      <c r="E21" s="100" t="s">
        <v>88</v>
      </c>
      <c r="F21" s="99" t="s">
        <v>39</v>
      </c>
      <c r="G21" s="100" t="str">
        <f t="shared" si="0"/>
        <v>NuevoDTCoreDocumentacion codigoBaja</v>
      </c>
      <c r="H21" s="99">
        <f t="shared" si="1"/>
        <v>0.125</v>
      </c>
      <c r="I21" s="99">
        <v>1</v>
      </c>
      <c r="J21" s="99"/>
      <c r="K21" s="99"/>
    </row>
    <row r="22" spans="1:11" x14ac:dyDescent="0.25">
      <c r="A22" s="2">
        <v>19</v>
      </c>
      <c r="B22" s="99" t="s">
        <v>35</v>
      </c>
      <c r="C22" s="99" t="s">
        <v>21</v>
      </c>
      <c r="D22" s="99" t="s">
        <v>32</v>
      </c>
      <c r="E22" s="100" t="s">
        <v>88</v>
      </c>
      <c r="F22" s="99" t="s">
        <v>38</v>
      </c>
      <c r="G22" s="100" t="str">
        <f t="shared" si="0"/>
        <v>NuevoDTCoreDocumentacion codigoMedia</v>
      </c>
      <c r="H22" s="99">
        <f t="shared" si="1"/>
        <v>0.25</v>
      </c>
      <c r="I22" s="99">
        <v>2</v>
      </c>
      <c r="J22" s="99"/>
      <c r="K22" s="99"/>
    </row>
    <row r="23" spans="1:11" x14ac:dyDescent="0.25">
      <c r="A23" s="2">
        <v>20</v>
      </c>
      <c r="B23" s="99" t="s">
        <v>35</v>
      </c>
      <c r="C23" s="99" t="s">
        <v>21</v>
      </c>
      <c r="D23" s="99" t="s">
        <v>32</v>
      </c>
      <c r="E23" s="100" t="s">
        <v>88</v>
      </c>
      <c r="F23" s="99" t="s">
        <v>37</v>
      </c>
      <c r="G23" s="100" t="str">
        <f t="shared" si="0"/>
        <v>NuevoDTCoreDocumentacion codigoAlta</v>
      </c>
      <c r="H23" s="99">
        <f t="shared" si="1"/>
        <v>0.375</v>
      </c>
      <c r="I23" s="99">
        <v>3</v>
      </c>
      <c r="J23" s="99"/>
      <c r="K23" s="99"/>
    </row>
    <row r="24" spans="1:11" x14ac:dyDescent="0.25">
      <c r="A24" s="2">
        <v>21</v>
      </c>
      <c r="B24" s="101" t="s">
        <v>35</v>
      </c>
      <c r="C24" s="101" t="s">
        <v>21</v>
      </c>
      <c r="D24" s="101" t="s">
        <v>33</v>
      </c>
      <c r="E24" s="102" t="s">
        <v>73</v>
      </c>
      <c r="F24" s="101" t="s">
        <v>105</v>
      </c>
      <c r="G24" s="102" t="str">
        <f t="shared" si="0"/>
        <v>NuevoDTFrontalDocumentacion Funcional PantallaTrivial</v>
      </c>
      <c r="H24" s="101">
        <f t="shared" si="1"/>
        <v>3.125E-2</v>
      </c>
      <c r="I24" s="101">
        <v>0.25</v>
      </c>
      <c r="J24" s="101"/>
      <c r="K24" s="101"/>
    </row>
    <row r="25" spans="1:11" x14ac:dyDescent="0.25">
      <c r="A25" s="2">
        <v>22</v>
      </c>
      <c r="B25" s="101" t="s">
        <v>35</v>
      </c>
      <c r="C25" s="101" t="s">
        <v>21</v>
      </c>
      <c r="D25" s="101" t="s">
        <v>33</v>
      </c>
      <c r="E25" s="102" t="s">
        <v>73</v>
      </c>
      <c r="F25" s="101" t="s">
        <v>39</v>
      </c>
      <c r="G25" s="102" t="str">
        <f t="shared" si="0"/>
        <v>NuevoDTFrontalDocumentacion Funcional PantallaBaja</v>
      </c>
      <c r="H25" s="101">
        <f t="shared" si="1"/>
        <v>0.125</v>
      </c>
      <c r="I25" s="101">
        <v>1</v>
      </c>
      <c r="J25" s="101"/>
      <c r="K25" s="101"/>
    </row>
    <row r="26" spans="1:11" x14ac:dyDescent="0.25">
      <c r="A26" s="2">
        <v>23</v>
      </c>
      <c r="B26" s="101" t="s">
        <v>35</v>
      </c>
      <c r="C26" s="101" t="s">
        <v>21</v>
      </c>
      <c r="D26" s="101" t="s">
        <v>33</v>
      </c>
      <c r="E26" s="102" t="s">
        <v>73</v>
      </c>
      <c r="F26" s="101" t="s">
        <v>38</v>
      </c>
      <c r="G26" s="102" t="str">
        <f t="shared" si="0"/>
        <v>NuevoDTFrontalDocumentacion Funcional PantallaMedia</v>
      </c>
      <c r="H26" s="101">
        <f t="shared" si="1"/>
        <v>0.25</v>
      </c>
      <c r="I26" s="101">
        <v>2</v>
      </c>
      <c r="J26" s="101"/>
      <c r="K26" s="101"/>
    </row>
    <row r="27" spans="1:11" x14ac:dyDescent="0.25">
      <c r="A27" s="2">
        <v>24</v>
      </c>
      <c r="B27" s="101" t="s">
        <v>35</v>
      </c>
      <c r="C27" s="101" t="s">
        <v>21</v>
      </c>
      <c r="D27" s="101" t="s">
        <v>33</v>
      </c>
      <c r="E27" s="102" t="s">
        <v>73</v>
      </c>
      <c r="F27" s="101" t="s">
        <v>37</v>
      </c>
      <c r="G27" s="102" t="str">
        <f t="shared" si="0"/>
        <v>NuevoDTFrontalDocumentacion Funcional PantallaAlta</v>
      </c>
      <c r="H27" s="101">
        <f t="shared" si="1"/>
        <v>0.25</v>
      </c>
      <c r="I27" s="101">
        <v>2</v>
      </c>
      <c r="J27" s="101"/>
      <c r="K27" s="101"/>
    </row>
    <row r="28" spans="1:11" x14ac:dyDescent="0.25">
      <c r="A28" s="2">
        <v>25</v>
      </c>
      <c r="B28" s="99" t="s">
        <v>35</v>
      </c>
      <c r="C28" s="99" t="s">
        <v>21</v>
      </c>
      <c r="D28" s="99" t="s">
        <v>33</v>
      </c>
      <c r="E28" s="100" t="s">
        <v>97</v>
      </c>
      <c r="F28" s="99" t="s">
        <v>105</v>
      </c>
      <c r="G28" s="100" t="str">
        <f t="shared" si="0"/>
        <v>NuevoDTFrontalAnalisis Codigo AnteriorTrivial</v>
      </c>
      <c r="H28" s="99">
        <f t="shared" si="1"/>
        <v>3.125E-2</v>
      </c>
      <c r="I28" s="99">
        <v>0.25</v>
      </c>
      <c r="J28" s="99"/>
      <c r="K28" s="99"/>
    </row>
    <row r="29" spans="1:11" x14ac:dyDescent="0.25">
      <c r="A29" s="2">
        <v>26</v>
      </c>
      <c r="B29" s="99" t="s">
        <v>35</v>
      </c>
      <c r="C29" s="99" t="s">
        <v>21</v>
      </c>
      <c r="D29" s="99" t="s">
        <v>33</v>
      </c>
      <c r="E29" s="100" t="s">
        <v>97</v>
      </c>
      <c r="F29" s="99" t="s">
        <v>39</v>
      </c>
      <c r="G29" s="100" t="str">
        <f t="shared" si="0"/>
        <v>NuevoDTFrontalAnalisis Codigo AnteriorBaja</v>
      </c>
      <c r="H29" s="99">
        <f t="shared" si="1"/>
        <v>0.5</v>
      </c>
      <c r="I29" s="99">
        <v>4</v>
      </c>
      <c r="J29" s="99"/>
      <c r="K29" s="99"/>
    </row>
    <row r="30" spans="1:11" x14ac:dyDescent="0.25">
      <c r="A30" s="2">
        <v>27</v>
      </c>
      <c r="B30" s="99" t="s">
        <v>35</v>
      </c>
      <c r="C30" s="99" t="s">
        <v>21</v>
      </c>
      <c r="D30" s="99" t="s">
        <v>33</v>
      </c>
      <c r="E30" s="100" t="s">
        <v>97</v>
      </c>
      <c r="F30" s="99" t="s">
        <v>38</v>
      </c>
      <c r="G30" s="100" t="str">
        <f t="shared" si="0"/>
        <v>NuevoDTFrontalAnalisis Codigo AnteriorMedia</v>
      </c>
      <c r="H30" s="99">
        <f t="shared" si="1"/>
        <v>0.75</v>
      </c>
      <c r="I30" s="99">
        <v>6</v>
      </c>
      <c r="J30" s="99"/>
      <c r="K30" s="99"/>
    </row>
    <row r="31" spans="1:11" x14ac:dyDescent="0.25">
      <c r="A31" s="2">
        <v>28</v>
      </c>
      <c r="B31" s="99" t="s">
        <v>35</v>
      </c>
      <c r="C31" s="99" t="s">
        <v>21</v>
      </c>
      <c r="D31" s="99" t="s">
        <v>33</v>
      </c>
      <c r="E31" s="100" t="s">
        <v>97</v>
      </c>
      <c r="F31" s="99" t="s">
        <v>37</v>
      </c>
      <c r="G31" s="100" t="str">
        <f t="shared" si="0"/>
        <v>NuevoDTFrontalAnalisis Codigo AnteriorAlta</v>
      </c>
      <c r="H31" s="99">
        <f t="shared" si="1"/>
        <v>1</v>
      </c>
      <c r="I31" s="99">
        <v>8</v>
      </c>
      <c r="J31" s="99"/>
      <c r="K31" s="99"/>
    </row>
    <row r="32" spans="1:11" x14ac:dyDescent="0.25">
      <c r="A32" s="2">
        <v>29</v>
      </c>
      <c r="B32" s="101" t="s">
        <v>35</v>
      </c>
      <c r="C32" s="101" t="s">
        <v>21</v>
      </c>
      <c r="D32" s="101" t="s">
        <v>33</v>
      </c>
      <c r="E32" s="102" t="s">
        <v>76</v>
      </c>
      <c r="F32" s="101" t="s">
        <v>105</v>
      </c>
      <c r="G32" s="102" t="str">
        <f t="shared" si="0"/>
        <v>NuevoDTFrontalAnalisis FuncionalTrivial</v>
      </c>
      <c r="H32" s="101">
        <f t="shared" si="1"/>
        <v>3.125E-2</v>
      </c>
      <c r="I32" s="101">
        <v>0.25</v>
      </c>
      <c r="J32" s="101"/>
      <c r="K32" s="101"/>
    </row>
    <row r="33" spans="1:12" x14ac:dyDescent="0.25">
      <c r="A33" s="2">
        <v>30</v>
      </c>
      <c r="B33" s="101" t="s">
        <v>35</v>
      </c>
      <c r="C33" s="101" t="s">
        <v>21</v>
      </c>
      <c r="D33" s="101" t="s">
        <v>33</v>
      </c>
      <c r="E33" s="102" t="s">
        <v>76</v>
      </c>
      <c r="F33" s="101" t="s">
        <v>39</v>
      </c>
      <c r="G33" s="102" t="str">
        <f t="shared" si="0"/>
        <v>NuevoDTFrontalAnalisis FuncionalBaja</v>
      </c>
      <c r="H33" s="101">
        <f t="shared" si="1"/>
        <v>0.125</v>
      </c>
      <c r="I33" s="101">
        <v>1</v>
      </c>
      <c r="J33" s="101"/>
      <c r="K33" s="101"/>
    </row>
    <row r="34" spans="1:12" x14ac:dyDescent="0.25">
      <c r="A34" s="2">
        <v>31</v>
      </c>
      <c r="B34" s="101" t="s">
        <v>35</v>
      </c>
      <c r="C34" s="101" t="s">
        <v>21</v>
      </c>
      <c r="D34" s="101" t="s">
        <v>33</v>
      </c>
      <c r="E34" s="102" t="s">
        <v>76</v>
      </c>
      <c r="F34" s="101" t="s">
        <v>38</v>
      </c>
      <c r="G34" s="102" t="str">
        <f t="shared" si="0"/>
        <v>NuevoDTFrontalAnalisis FuncionalMedia</v>
      </c>
      <c r="H34" s="101">
        <f t="shared" si="1"/>
        <v>0.25</v>
      </c>
      <c r="I34" s="101">
        <v>2</v>
      </c>
      <c r="J34" s="101"/>
      <c r="K34" s="101"/>
    </row>
    <row r="35" spans="1:12" x14ac:dyDescent="0.25">
      <c r="A35" s="2">
        <v>32</v>
      </c>
      <c r="B35" s="101" t="s">
        <v>35</v>
      </c>
      <c r="C35" s="101" t="s">
        <v>21</v>
      </c>
      <c r="D35" s="101" t="s">
        <v>33</v>
      </c>
      <c r="E35" s="102" t="s">
        <v>76</v>
      </c>
      <c r="F35" s="101" t="s">
        <v>37</v>
      </c>
      <c r="G35" s="102" t="str">
        <f t="shared" si="0"/>
        <v>NuevoDTFrontalAnalisis FuncionalAlta</v>
      </c>
      <c r="H35" s="101">
        <f t="shared" si="1"/>
        <v>0.375</v>
      </c>
      <c r="I35" s="101">
        <v>3</v>
      </c>
      <c r="J35" s="101"/>
      <c r="K35" s="101"/>
    </row>
    <row r="36" spans="1:12" x14ac:dyDescent="0.25">
      <c r="A36" s="2">
        <v>33</v>
      </c>
      <c r="B36" s="99" t="s">
        <v>35</v>
      </c>
      <c r="C36" s="99" t="s">
        <v>21</v>
      </c>
      <c r="D36" s="99" t="s">
        <v>33</v>
      </c>
      <c r="E36" s="100" t="s">
        <v>88</v>
      </c>
      <c r="F36" s="99" t="s">
        <v>105</v>
      </c>
      <c r="G36" s="100" t="str">
        <f t="shared" si="0"/>
        <v>NuevoDTFrontalDocumentacion codigoTrivial</v>
      </c>
      <c r="H36" s="99">
        <f t="shared" si="1"/>
        <v>3.125E-2</v>
      </c>
      <c r="I36" s="99">
        <v>0.25</v>
      </c>
      <c r="J36" s="99"/>
      <c r="K36" s="99"/>
    </row>
    <row r="37" spans="1:12" x14ac:dyDescent="0.25">
      <c r="A37" s="2">
        <v>34</v>
      </c>
      <c r="B37" s="99" t="s">
        <v>35</v>
      </c>
      <c r="C37" s="99" t="s">
        <v>21</v>
      </c>
      <c r="D37" s="99" t="s">
        <v>33</v>
      </c>
      <c r="E37" s="100" t="s">
        <v>88</v>
      </c>
      <c r="F37" s="99" t="s">
        <v>39</v>
      </c>
      <c r="G37" s="100" t="str">
        <f t="shared" si="0"/>
        <v>NuevoDTFrontalDocumentacion codigoBaja</v>
      </c>
      <c r="H37" s="99">
        <f t="shared" si="1"/>
        <v>0.125</v>
      </c>
      <c r="I37" s="99">
        <v>1</v>
      </c>
      <c r="J37" s="99"/>
      <c r="K37" s="99"/>
    </row>
    <row r="38" spans="1:12" x14ac:dyDescent="0.25">
      <c r="A38" s="2">
        <v>35</v>
      </c>
      <c r="B38" s="99" t="s">
        <v>35</v>
      </c>
      <c r="C38" s="99" t="s">
        <v>21</v>
      </c>
      <c r="D38" s="99" t="s">
        <v>33</v>
      </c>
      <c r="E38" s="100" t="s">
        <v>88</v>
      </c>
      <c r="F38" s="99" t="s">
        <v>38</v>
      </c>
      <c r="G38" s="100" t="str">
        <f t="shared" si="0"/>
        <v>NuevoDTFrontalDocumentacion codigoMedia</v>
      </c>
      <c r="H38" s="99">
        <f t="shared" si="1"/>
        <v>0.25</v>
      </c>
      <c r="I38" s="99">
        <v>2</v>
      </c>
      <c r="J38" s="99"/>
      <c r="K38" s="99"/>
    </row>
    <row r="39" spans="1:12" x14ac:dyDescent="0.25">
      <c r="A39" s="2">
        <v>36</v>
      </c>
      <c r="B39" s="99" t="s">
        <v>35</v>
      </c>
      <c r="C39" s="99" t="s">
        <v>21</v>
      </c>
      <c r="D39" s="99" t="s">
        <v>33</v>
      </c>
      <c r="E39" s="100" t="s">
        <v>88</v>
      </c>
      <c r="F39" s="99" t="s">
        <v>37</v>
      </c>
      <c r="G39" s="100" t="str">
        <f t="shared" si="0"/>
        <v>NuevoDTFrontalDocumentacion codigoAlta</v>
      </c>
      <c r="H39" s="99">
        <f t="shared" si="1"/>
        <v>0.375</v>
      </c>
      <c r="I39" s="99">
        <v>3</v>
      </c>
      <c r="J39" s="99"/>
      <c r="K39" s="99"/>
    </row>
    <row r="40" spans="1:12" x14ac:dyDescent="0.25">
      <c r="A40" s="2">
        <v>37</v>
      </c>
      <c r="B40" s="101" t="s">
        <v>35</v>
      </c>
      <c r="C40" s="101" t="s">
        <v>21</v>
      </c>
      <c r="D40" s="101" t="s">
        <v>112</v>
      </c>
      <c r="E40" s="102" t="s">
        <v>79</v>
      </c>
      <c r="F40" s="101" t="s">
        <v>105</v>
      </c>
      <c r="G40" s="102" t="str">
        <f t="shared" si="0"/>
        <v>NuevoDTAPI_RESTAnalizar ApiTrivial</v>
      </c>
      <c r="H40" s="101">
        <f t="shared" si="1"/>
        <v>3.125E-2</v>
      </c>
      <c r="I40" s="101">
        <v>0.25</v>
      </c>
      <c r="J40" s="101"/>
      <c r="K40" s="101"/>
    </row>
    <row r="41" spans="1:12" x14ac:dyDescent="0.25">
      <c r="A41" s="2">
        <v>38</v>
      </c>
      <c r="B41" s="101" t="s">
        <v>35</v>
      </c>
      <c r="C41" s="101" t="s">
        <v>21</v>
      </c>
      <c r="D41" s="101" t="s">
        <v>112</v>
      </c>
      <c r="E41" s="102" t="s">
        <v>79</v>
      </c>
      <c r="F41" s="101" t="s">
        <v>39</v>
      </c>
      <c r="G41" s="102" t="str">
        <f t="shared" si="0"/>
        <v>NuevoDTAPI_RESTAnalizar ApiBaja</v>
      </c>
      <c r="H41" s="101">
        <f t="shared" si="1"/>
        <v>0.25</v>
      </c>
      <c r="I41" s="101">
        <v>2</v>
      </c>
      <c r="J41" s="101"/>
      <c r="K41" s="101"/>
    </row>
    <row r="42" spans="1:12" x14ac:dyDescent="0.25">
      <c r="A42" s="2">
        <v>39</v>
      </c>
      <c r="B42" s="101" t="s">
        <v>35</v>
      </c>
      <c r="C42" s="101" t="s">
        <v>21</v>
      </c>
      <c r="D42" s="101" t="s">
        <v>112</v>
      </c>
      <c r="E42" s="102" t="s">
        <v>79</v>
      </c>
      <c r="F42" s="101" t="s">
        <v>38</v>
      </c>
      <c r="G42" s="102" t="str">
        <f t="shared" si="0"/>
        <v>NuevoDTAPI_RESTAnalizar ApiMedia</v>
      </c>
      <c r="H42" s="101">
        <f t="shared" si="1"/>
        <v>0.5</v>
      </c>
      <c r="I42" s="101">
        <v>4</v>
      </c>
      <c r="J42" s="101"/>
      <c r="K42" s="101"/>
    </row>
    <row r="43" spans="1:12" x14ac:dyDescent="0.25">
      <c r="A43" s="2">
        <v>40</v>
      </c>
      <c r="B43" s="101" t="s">
        <v>35</v>
      </c>
      <c r="C43" s="101" t="s">
        <v>21</v>
      </c>
      <c r="D43" s="101" t="s">
        <v>112</v>
      </c>
      <c r="E43" s="102" t="s">
        <v>79</v>
      </c>
      <c r="F43" s="101" t="s">
        <v>37</v>
      </c>
      <c r="G43" s="102" t="str">
        <f t="shared" si="0"/>
        <v>NuevoDTAPI_RESTAnalizar ApiAlta</v>
      </c>
      <c r="H43" s="101">
        <f t="shared" si="1"/>
        <v>0.75</v>
      </c>
      <c r="I43" s="101">
        <v>6</v>
      </c>
      <c r="J43" s="101"/>
      <c r="K43" s="101"/>
    </row>
    <row r="44" spans="1:12" x14ac:dyDescent="0.25">
      <c r="A44" s="2">
        <v>41</v>
      </c>
      <c r="B44" s="99" t="s">
        <v>35</v>
      </c>
      <c r="C44" s="99" t="s">
        <v>21</v>
      </c>
      <c r="D44" s="99" t="s">
        <v>112</v>
      </c>
      <c r="E44" s="100" t="s">
        <v>79</v>
      </c>
      <c r="F44" s="99" t="s">
        <v>105</v>
      </c>
      <c r="G44" s="100" t="str">
        <f t="shared" ref="G44:G47" si="2">CONCATENATE(B44,C44,D44,E44,F44)</f>
        <v>NuevoDTAPI_RESTAnalizar ApiTrivial</v>
      </c>
      <c r="H44" s="99">
        <f t="shared" ref="H44:H47" si="3">I44/8</f>
        <v>3.125E-2</v>
      </c>
      <c r="I44" s="99">
        <v>0.25</v>
      </c>
      <c r="J44" s="99"/>
      <c r="K44" s="99"/>
    </row>
    <row r="45" spans="1:12" x14ac:dyDescent="0.25">
      <c r="A45" s="2">
        <v>42</v>
      </c>
      <c r="B45" s="99" t="s">
        <v>35</v>
      </c>
      <c r="C45" s="99" t="s">
        <v>21</v>
      </c>
      <c r="D45" s="99" t="s">
        <v>112</v>
      </c>
      <c r="E45" s="100" t="s">
        <v>79</v>
      </c>
      <c r="F45" s="99" t="s">
        <v>39</v>
      </c>
      <c r="G45" s="100" t="str">
        <f t="shared" si="2"/>
        <v>NuevoDTAPI_RESTAnalizar ApiBaja</v>
      </c>
      <c r="H45" s="99">
        <f t="shared" si="3"/>
        <v>0.25</v>
      </c>
      <c r="I45" s="99">
        <v>2</v>
      </c>
      <c r="J45" s="99"/>
      <c r="K45" s="99"/>
    </row>
    <row r="46" spans="1:12" x14ac:dyDescent="0.25">
      <c r="A46" s="2">
        <v>43</v>
      </c>
      <c r="B46" s="99" t="s">
        <v>35</v>
      </c>
      <c r="C46" s="99" t="s">
        <v>21</v>
      </c>
      <c r="D46" s="99" t="s">
        <v>112</v>
      </c>
      <c r="E46" s="100" t="s">
        <v>79</v>
      </c>
      <c r="F46" s="99" t="s">
        <v>38</v>
      </c>
      <c r="G46" s="100" t="str">
        <f t="shared" si="2"/>
        <v>NuevoDTAPI_RESTAnalizar ApiMedia</v>
      </c>
      <c r="H46" s="99">
        <f t="shared" si="3"/>
        <v>0.5</v>
      </c>
      <c r="I46" s="99">
        <v>4</v>
      </c>
      <c r="J46" s="99"/>
      <c r="K46" s="99"/>
    </row>
    <row r="47" spans="1:12" x14ac:dyDescent="0.25">
      <c r="A47" s="2">
        <v>44</v>
      </c>
      <c r="B47" s="99" t="s">
        <v>35</v>
      </c>
      <c r="C47" s="99" t="s">
        <v>21</v>
      </c>
      <c r="D47" s="99" t="s">
        <v>112</v>
      </c>
      <c r="E47" s="100" t="s">
        <v>79</v>
      </c>
      <c r="F47" s="99" t="s">
        <v>37</v>
      </c>
      <c r="G47" s="100" t="str">
        <f t="shared" si="2"/>
        <v>NuevoDTAPI_RESTAnalizar ApiAlta</v>
      </c>
      <c r="H47" s="99">
        <f t="shared" si="3"/>
        <v>0.75</v>
      </c>
      <c r="I47" s="99">
        <v>6</v>
      </c>
      <c r="J47" s="99"/>
      <c r="K47" s="99"/>
    </row>
    <row r="48" spans="1:12" x14ac:dyDescent="0.25">
      <c r="A48" s="2">
        <v>45</v>
      </c>
      <c r="B48" s="101" t="s">
        <v>35</v>
      </c>
      <c r="C48" s="101" t="s">
        <v>21</v>
      </c>
      <c r="D48" s="101" t="s">
        <v>112</v>
      </c>
      <c r="E48" s="102" t="s">
        <v>88</v>
      </c>
      <c r="F48" s="101" t="s">
        <v>105</v>
      </c>
      <c r="G48" s="102" t="str">
        <f t="shared" si="0"/>
        <v>NuevoDTAPI_RESTDocumentacion codigoTrivial</v>
      </c>
      <c r="H48" s="101">
        <f t="shared" si="1"/>
        <v>3.125E-2</v>
      </c>
      <c r="I48" s="101">
        <v>0.25</v>
      </c>
      <c r="J48" s="101"/>
      <c r="K48" s="101"/>
      <c r="L48" s="46"/>
    </row>
    <row r="49" spans="1:12" x14ac:dyDescent="0.25">
      <c r="A49" s="2">
        <v>46</v>
      </c>
      <c r="B49" s="101" t="s">
        <v>35</v>
      </c>
      <c r="C49" s="101" t="s">
        <v>21</v>
      </c>
      <c r="D49" s="101" t="s">
        <v>112</v>
      </c>
      <c r="E49" s="102" t="s">
        <v>88</v>
      </c>
      <c r="F49" s="101" t="s">
        <v>39</v>
      </c>
      <c r="G49" s="102" t="str">
        <f t="shared" si="0"/>
        <v>NuevoDTAPI_RESTDocumentacion codigoBaja</v>
      </c>
      <c r="H49" s="101">
        <f t="shared" si="1"/>
        <v>0.125</v>
      </c>
      <c r="I49" s="101">
        <v>1</v>
      </c>
      <c r="J49" s="101"/>
      <c r="K49" s="101"/>
      <c r="L49" s="46"/>
    </row>
    <row r="50" spans="1:12" x14ac:dyDescent="0.25">
      <c r="A50" s="2">
        <v>47</v>
      </c>
      <c r="B50" s="101" t="s">
        <v>35</v>
      </c>
      <c r="C50" s="101" t="s">
        <v>21</v>
      </c>
      <c r="D50" s="101" t="s">
        <v>112</v>
      </c>
      <c r="E50" s="102" t="s">
        <v>88</v>
      </c>
      <c r="F50" s="101" t="s">
        <v>38</v>
      </c>
      <c r="G50" s="102" t="str">
        <f t="shared" si="0"/>
        <v>NuevoDTAPI_RESTDocumentacion codigoMedia</v>
      </c>
      <c r="H50" s="101">
        <f t="shared" si="1"/>
        <v>0.25</v>
      </c>
      <c r="I50" s="101">
        <v>2</v>
      </c>
      <c r="J50" s="101"/>
      <c r="K50" s="101"/>
      <c r="L50" s="46"/>
    </row>
    <row r="51" spans="1:12" x14ac:dyDescent="0.25">
      <c r="A51" s="2">
        <v>48</v>
      </c>
      <c r="B51" s="101" t="s">
        <v>35</v>
      </c>
      <c r="C51" s="101" t="s">
        <v>21</v>
      </c>
      <c r="D51" s="101" t="s">
        <v>112</v>
      </c>
      <c r="E51" s="102" t="s">
        <v>88</v>
      </c>
      <c r="F51" s="101" t="s">
        <v>37</v>
      </c>
      <c r="G51" s="102" t="str">
        <f t="shared" si="0"/>
        <v>NuevoDTAPI_RESTDocumentacion codigoAlta</v>
      </c>
      <c r="H51" s="101">
        <f t="shared" si="1"/>
        <v>0.375</v>
      </c>
      <c r="I51" s="101">
        <v>3</v>
      </c>
      <c r="J51" s="101"/>
      <c r="K51" s="101"/>
      <c r="L51" s="46"/>
    </row>
    <row r="52" spans="1:12" x14ac:dyDescent="0.25">
      <c r="A52" s="2">
        <v>49</v>
      </c>
      <c r="B52" s="99" t="s">
        <v>35</v>
      </c>
      <c r="C52" s="99" t="s">
        <v>21</v>
      </c>
      <c r="D52" s="99" t="s">
        <v>112</v>
      </c>
      <c r="E52" s="100" t="s">
        <v>90</v>
      </c>
      <c r="F52" s="99" t="s">
        <v>105</v>
      </c>
      <c r="G52" s="100" t="str">
        <f t="shared" si="0"/>
        <v>NuevoDTAPI_RESTDocumentacion Funcional APITrivial</v>
      </c>
      <c r="H52" s="99">
        <f t="shared" si="1"/>
        <v>3.125E-2</v>
      </c>
      <c r="I52" s="99">
        <v>0.25</v>
      </c>
      <c r="J52" s="99"/>
      <c r="K52" s="99"/>
      <c r="L52" s="46"/>
    </row>
    <row r="53" spans="1:12" x14ac:dyDescent="0.25">
      <c r="A53" s="2">
        <v>50</v>
      </c>
      <c r="B53" s="99" t="s">
        <v>35</v>
      </c>
      <c r="C53" s="99" t="s">
        <v>21</v>
      </c>
      <c r="D53" s="99" t="s">
        <v>112</v>
      </c>
      <c r="E53" s="100" t="s">
        <v>90</v>
      </c>
      <c r="F53" s="99" t="s">
        <v>39</v>
      </c>
      <c r="G53" s="100" t="str">
        <f t="shared" si="0"/>
        <v>NuevoDTAPI_RESTDocumentacion Funcional APIBaja</v>
      </c>
      <c r="H53" s="99">
        <f t="shared" si="1"/>
        <v>0.125</v>
      </c>
      <c r="I53" s="99">
        <v>1</v>
      </c>
      <c r="J53" s="99"/>
      <c r="K53" s="99"/>
      <c r="L53" s="46"/>
    </row>
    <row r="54" spans="1:12" x14ac:dyDescent="0.25">
      <c r="A54" s="2">
        <v>51</v>
      </c>
      <c r="B54" s="99" t="s">
        <v>35</v>
      </c>
      <c r="C54" s="99" t="s">
        <v>21</v>
      </c>
      <c r="D54" s="99" t="s">
        <v>112</v>
      </c>
      <c r="E54" s="100" t="s">
        <v>90</v>
      </c>
      <c r="F54" s="99" t="s">
        <v>38</v>
      </c>
      <c r="G54" s="100" t="str">
        <f t="shared" si="0"/>
        <v>NuevoDTAPI_RESTDocumentacion Funcional APIMedia</v>
      </c>
      <c r="H54" s="99">
        <f t="shared" si="1"/>
        <v>0.25</v>
      </c>
      <c r="I54" s="99">
        <v>2</v>
      </c>
      <c r="J54" s="99"/>
      <c r="K54" s="99"/>
      <c r="L54" s="46"/>
    </row>
    <row r="55" spans="1:12" x14ac:dyDescent="0.25">
      <c r="A55" s="2">
        <v>52</v>
      </c>
      <c r="B55" s="99" t="s">
        <v>35</v>
      </c>
      <c r="C55" s="99" t="s">
        <v>21</v>
      </c>
      <c r="D55" s="99" t="s">
        <v>112</v>
      </c>
      <c r="E55" s="100" t="s">
        <v>90</v>
      </c>
      <c r="F55" s="99" t="s">
        <v>37</v>
      </c>
      <c r="G55" s="100" t="str">
        <f t="shared" si="0"/>
        <v>NuevoDTAPI_RESTDocumentacion Funcional APIAlta</v>
      </c>
      <c r="H55" s="99">
        <f t="shared" si="1"/>
        <v>0.375</v>
      </c>
      <c r="I55" s="99">
        <v>3</v>
      </c>
      <c r="J55" s="99"/>
      <c r="K55" s="99"/>
      <c r="L55" s="46"/>
    </row>
    <row r="56" spans="1:12" x14ac:dyDescent="0.25">
      <c r="A56" s="2">
        <v>53</v>
      </c>
      <c r="B56" s="101" t="s">
        <v>35</v>
      </c>
      <c r="C56" s="101" t="s">
        <v>21</v>
      </c>
      <c r="D56" s="101" t="s">
        <v>113</v>
      </c>
      <c r="E56" s="102" t="s">
        <v>79</v>
      </c>
      <c r="F56" s="101" t="s">
        <v>105</v>
      </c>
      <c r="G56" s="102" t="str">
        <f t="shared" ref="G56:G71" si="4">CONCATENATE(B56,C56,D56,E56,F56)</f>
        <v>NuevoDTAPI_SOAPAnalizar ApiTrivial</v>
      </c>
      <c r="H56" s="101">
        <f t="shared" ref="H56:H71" si="5">I56/8</f>
        <v>3.125E-2</v>
      </c>
      <c r="I56" s="101">
        <v>0.25</v>
      </c>
      <c r="J56" s="101"/>
      <c r="K56" s="101"/>
      <c r="L56" s="46"/>
    </row>
    <row r="57" spans="1:12" x14ac:dyDescent="0.25">
      <c r="A57" s="2">
        <v>54</v>
      </c>
      <c r="B57" s="101" t="s">
        <v>35</v>
      </c>
      <c r="C57" s="101" t="s">
        <v>21</v>
      </c>
      <c r="D57" s="101" t="s">
        <v>113</v>
      </c>
      <c r="E57" s="102" t="s">
        <v>79</v>
      </c>
      <c r="F57" s="101" t="s">
        <v>39</v>
      </c>
      <c r="G57" s="102" t="str">
        <f t="shared" si="4"/>
        <v>NuevoDTAPI_SOAPAnalizar ApiBaja</v>
      </c>
      <c r="H57" s="101">
        <f t="shared" si="5"/>
        <v>0.25</v>
      </c>
      <c r="I57" s="101">
        <v>2</v>
      </c>
      <c r="J57" s="101"/>
      <c r="K57" s="101"/>
      <c r="L57" s="46"/>
    </row>
    <row r="58" spans="1:12" x14ac:dyDescent="0.25">
      <c r="A58" s="2">
        <v>55</v>
      </c>
      <c r="B58" s="101" t="s">
        <v>35</v>
      </c>
      <c r="C58" s="101" t="s">
        <v>21</v>
      </c>
      <c r="D58" s="101" t="s">
        <v>113</v>
      </c>
      <c r="E58" s="102" t="s">
        <v>79</v>
      </c>
      <c r="F58" s="101" t="s">
        <v>38</v>
      </c>
      <c r="G58" s="102" t="str">
        <f t="shared" si="4"/>
        <v>NuevoDTAPI_SOAPAnalizar ApiMedia</v>
      </c>
      <c r="H58" s="101">
        <f t="shared" si="5"/>
        <v>0.5</v>
      </c>
      <c r="I58" s="101">
        <v>4</v>
      </c>
      <c r="J58" s="101"/>
      <c r="K58" s="101"/>
      <c r="L58" s="46"/>
    </row>
    <row r="59" spans="1:12" x14ac:dyDescent="0.25">
      <c r="A59" s="2">
        <v>56</v>
      </c>
      <c r="B59" s="101" t="s">
        <v>35</v>
      </c>
      <c r="C59" s="101" t="s">
        <v>21</v>
      </c>
      <c r="D59" s="101" t="s">
        <v>113</v>
      </c>
      <c r="E59" s="102" t="s">
        <v>79</v>
      </c>
      <c r="F59" s="101" t="s">
        <v>37</v>
      </c>
      <c r="G59" s="102" t="str">
        <f t="shared" si="4"/>
        <v>NuevoDTAPI_SOAPAnalizar ApiAlta</v>
      </c>
      <c r="H59" s="101">
        <f t="shared" si="5"/>
        <v>0.75</v>
      </c>
      <c r="I59" s="101">
        <v>6</v>
      </c>
      <c r="J59" s="101"/>
      <c r="K59" s="101"/>
      <c r="L59" s="46"/>
    </row>
    <row r="60" spans="1:12" x14ac:dyDescent="0.25">
      <c r="A60" s="2">
        <v>57</v>
      </c>
      <c r="B60" s="99" t="s">
        <v>35</v>
      </c>
      <c r="C60" s="99" t="s">
        <v>21</v>
      </c>
      <c r="D60" s="99" t="s">
        <v>113</v>
      </c>
      <c r="E60" s="100" t="s">
        <v>79</v>
      </c>
      <c r="F60" s="99" t="s">
        <v>105</v>
      </c>
      <c r="G60" s="100" t="str">
        <f t="shared" si="4"/>
        <v>NuevoDTAPI_SOAPAnalizar ApiTrivial</v>
      </c>
      <c r="H60" s="99">
        <f t="shared" si="5"/>
        <v>3.125E-2</v>
      </c>
      <c r="I60" s="99">
        <v>0.25</v>
      </c>
      <c r="J60" s="99"/>
      <c r="K60" s="99"/>
      <c r="L60" s="46"/>
    </row>
    <row r="61" spans="1:12" x14ac:dyDescent="0.25">
      <c r="A61" s="2">
        <v>58</v>
      </c>
      <c r="B61" s="99" t="s">
        <v>35</v>
      </c>
      <c r="C61" s="99" t="s">
        <v>21</v>
      </c>
      <c r="D61" s="99" t="s">
        <v>113</v>
      </c>
      <c r="E61" s="100" t="s">
        <v>79</v>
      </c>
      <c r="F61" s="99" t="s">
        <v>39</v>
      </c>
      <c r="G61" s="100" t="str">
        <f t="shared" si="4"/>
        <v>NuevoDTAPI_SOAPAnalizar ApiBaja</v>
      </c>
      <c r="H61" s="99">
        <f t="shared" si="5"/>
        <v>0.25</v>
      </c>
      <c r="I61" s="99">
        <v>2</v>
      </c>
      <c r="J61" s="99"/>
      <c r="K61" s="99"/>
      <c r="L61" s="46"/>
    </row>
    <row r="62" spans="1:12" x14ac:dyDescent="0.25">
      <c r="A62" s="2">
        <v>59</v>
      </c>
      <c r="B62" s="99" t="s">
        <v>35</v>
      </c>
      <c r="C62" s="99" t="s">
        <v>21</v>
      </c>
      <c r="D62" s="99" t="s">
        <v>113</v>
      </c>
      <c r="E62" s="100" t="s">
        <v>79</v>
      </c>
      <c r="F62" s="99" t="s">
        <v>38</v>
      </c>
      <c r="G62" s="100" t="str">
        <f t="shared" si="4"/>
        <v>NuevoDTAPI_SOAPAnalizar ApiMedia</v>
      </c>
      <c r="H62" s="99">
        <f t="shared" si="5"/>
        <v>0.5</v>
      </c>
      <c r="I62" s="99">
        <v>4</v>
      </c>
      <c r="J62" s="99"/>
      <c r="K62" s="99"/>
      <c r="L62" s="46"/>
    </row>
    <row r="63" spans="1:12" x14ac:dyDescent="0.25">
      <c r="A63" s="2">
        <v>60</v>
      </c>
      <c r="B63" s="99" t="s">
        <v>35</v>
      </c>
      <c r="C63" s="99" t="s">
        <v>21</v>
      </c>
      <c r="D63" s="99" t="s">
        <v>113</v>
      </c>
      <c r="E63" s="100" t="s">
        <v>79</v>
      </c>
      <c r="F63" s="99" t="s">
        <v>37</v>
      </c>
      <c r="G63" s="100" t="str">
        <f t="shared" si="4"/>
        <v>NuevoDTAPI_SOAPAnalizar ApiAlta</v>
      </c>
      <c r="H63" s="99">
        <f t="shared" si="5"/>
        <v>0.75</v>
      </c>
      <c r="I63" s="99">
        <v>6</v>
      </c>
      <c r="J63" s="99"/>
      <c r="K63" s="99"/>
      <c r="L63" s="46"/>
    </row>
    <row r="64" spans="1:12" x14ac:dyDescent="0.25">
      <c r="A64" s="2">
        <v>61</v>
      </c>
      <c r="B64" s="101" t="s">
        <v>35</v>
      </c>
      <c r="C64" s="101" t="s">
        <v>21</v>
      </c>
      <c r="D64" s="101" t="s">
        <v>113</v>
      </c>
      <c r="E64" s="102" t="s">
        <v>88</v>
      </c>
      <c r="F64" s="101" t="s">
        <v>105</v>
      </c>
      <c r="G64" s="102" t="str">
        <f t="shared" si="4"/>
        <v>NuevoDTAPI_SOAPDocumentacion codigoTrivial</v>
      </c>
      <c r="H64" s="101">
        <f t="shared" si="5"/>
        <v>3.125E-2</v>
      </c>
      <c r="I64" s="101">
        <v>0.25</v>
      </c>
      <c r="J64" s="101"/>
      <c r="K64" s="101"/>
      <c r="L64" s="46"/>
    </row>
    <row r="65" spans="1:12" x14ac:dyDescent="0.25">
      <c r="A65" s="2">
        <v>62</v>
      </c>
      <c r="B65" s="101" t="s">
        <v>35</v>
      </c>
      <c r="C65" s="101" t="s">
        <v>21</v>
      </c>
      <c r="D65" s="101" t="s">
        <v>113</v>
      </c>
      <c r="E65" s="102" t="s">
        <v>88</v>
      </c>
      <c r="F65" s="101" t="s">
        <v>39</v>
      </c>
      <c r="G65" s="102" t="str">
        <f t="shared" si="4"/>
        <v>NuevoDTAPI_SOAPDocumentacion codigoBaja</v>
      </c>
      <c r="H65" s="101">
        <f t="shared" si="5"/>
        <v>0.125</v>
      </c>
      <c r="I65" s="101">
        <v>1</v>
      </c>
      <c r="J65" s="101"/>
      <c r="K65" s="101"/>
      <c r="L65" s="46"/>
    </row>
    <row r="66" spans="1:12" x14ac:dyDescent="0.25">
      <c r="A66" s="2">
        <v>63</v>
      </c>
      <c r="B66" s="101" t="s">
        <v>35</v>
      </c>
      <c r="C66" s="101" t="s">
        <v>21</v>
      </c>
      <c r="D66" s="101" t="s">
        <v>113</v>
      </c>
      <c r="E66" s="102" t="s">
        <v>88</v>
      </c>
      <c r="F66" s="101" t="s">
        <v>38</v>
      </c>
      <c r="G66" s="102" t="str">
        <f t="shared" si="4"/>
        <v>NuevoDTAPI_SOAPDocumentacion codigoMedia</v>
      </c>
      <c r="H66" s="101">
        <f t="shared" si="5"/>
        <v>0.25</v>
      </c>
      <c r="I66" s="101">
        <v>2</v>
      </c>
      <c r="J66" s="101"/>
      <c r="K66" s="101"/>
      <c r="L66" s="46"/>
    </row>
    <row r="67" spans="1:12" x14ac:dyDescent="0.25">
      <c r="A67" s="2">
        <v>64</v>
      </c>
      <c r="B67" s="101" t="s">
        <v>35</v>
      </c>
      <c r="C67" s="101" t="s">
        <v>21</v>
      </c>
      <c r="D67" s="101" t="s">
        <v>113</v>
      </c>
      <c r="E67" s="102" t="s">
        <v>88</v>
      </c>
      <c r="F67" s="101" t="s">
        <v>37</v>
      </c>
      <c r="G67" s="102" t="str">
        <f t="shared" si="4"/>
        <v>NuevoDTAPI_SOAPDocumentacion codigoAlta</v>
      </c>
      <c r="H67" s="101">
        <f t="shared" si="5"/>
        <v>0.375</v>
      </c>
      <c r="I67" s="101">
        <v>3</v>
      </c>
      <c r="J67" s="101"/>
      <c r="K67" s="101"/>
      <c r="L67" s="46"/>
    </row>
    <row r="68" spans="1:12" x14ac:dyDescent="0.25">
      <c r="A68" s="2">
        <v>65</v>
      </c>
      <c r="B68" s="99" t="s">
        <v>35</v>
      </c>
      <c r="C68" s="99" t="s">
        <v>21</v>
      </c>
      <c r="D68" s="99" t="s">
        <v>113</v>
      </c>
      <c r="E68" s="100" t="s">
        <v>90</v>
      </c>
      <c r="F68" s="99" t="s">
        <v>105</v>
      </c>
      <c r="G68" s="100" t="str">
        <f t="shared" si="4"/>
        <v>NuevoDTAPI_SOAPDocumentacion Funcional APITrivial</v>
      </c>
      <c r="H68" s="99">
        <f t="shared" si="5"/>
        <v>3.125E-2</v>
      </c>
      <c r="I68" s="99">
        <v>0.25</v>
      </c>
      <c r="J68" s="99"/>
      <c r="K68" s="99"/>
      <c r="L68" s="46"/>
    </row>
    <row r="69" spans="1:12" x14ac:dyDescent="0.25">
      <c r="A69" s="2">
        <v>66</v>
      </c>
      <c r="B69" s="99" t="s">
        <v>35</v>
      </c>
      <c r="C69" s="99" t="s">
        <v>21</v>
      </c>
      <c r="D69" s="99" t="s">
        <v>113</v>
      </c>
      <c r="E69" s="100" t="s">
        <v>90</v>
      </c>
      <c r="F69" s="99" t="s">
        <v>39</v>
      </c>
      <c r="G69" s="100" t="str">
        <f t="shared" si="4"/>
        <v>NuevoDTAPI_SOAPDocumentacion Funcional APIBaja</v>
      </c>
      <c r="H69" s="99">
        <f t="shared" si="5"/>
        <v>0.125</v>
      </c>
      <c r="I69" s="99">
        <v>1</v>
      </c>
      <c r="J69" s="99"/>
      <c r="K69" s="99"/>
      <c r="L69" s="46"/>
    </row>
    <row r="70" spans="1:12" x14ac:dyDescent="0.25">
      <c r="A70" s="2">
        <v>67</v>
      </c>
      <c r="B70" s="99" t="s">
        <v>35</v>
      </c>
      <c r="C70" s="99" t="s">
        <v>21</v>
      </c>
      <c r="D70" s="99" t="s">
        <v>113</v>
      </c>
      <c r="E70" s="100" t="s">
        <v>90</v>
      </c>
      <c r="F70" s="99" t="s">
        <v>38</v>
      </c>
      <c r="G70" s="100" t="str">
        <f t="shared" si="4"/>
        <v>NuevoDTAPI_SOAPDocumentacion Funcional APIMedia</v>
      </c>
      <c r="H70" s="99">
        <f t="shared" si="5"/>
        <v>0.25</v>
      </c>
      <c r="I70" s="99">
        <v>2</v>
      </c>
      <c r="J70" s="99"/>
      <c r="K70" s="99"/>
      <c r="L70" s="46"/>
    </row>
    <row r="71" spans="1:12" x14ac:dyDescent="0.25">
      <c r="A71" s="2">
        <v>68</v>
      </c>
      <c r="B71" s="99" t="s">
        <v>35</v>
      </c>
      <c r="C71" s="99" t="s">
        <v>21</v>
      </c>
      <c r="D71" s="99" t="s">
        <v>113</v>
      </c>
      <c r="E71" s="100" t="s">
        <v>90</v>
      </c>
      <c r="F71" s="99" t="s">
        <v>37</v>
      </c>
      <c r="G71" s="100" t="str">
        <f t="shared" si="4"/>
        <v>NuevoDTAPI_SOAPDocumentacion Funcional APIAlta</v>
      </c>
      <c r="H71" s="99">
        <f t="shared" si="5"/>
        <v>0.375</v>
      </c>
      <c r="I71" s="99">
        <v>3</v>
      </c>
      <c r="J71" s="99"/>
      <c r="K71" s="99"/>
      <c r="L71" s="46"/>
    </row>
    <row r="72" spans="1:12" x14ac:dyDescent="0.25">
      <c r="A72" s="2">
        <v>69</v>
      </c>
      <c r="B72" s="101" t="s">
        <v>35</v>
      </c>
      <c r="C72" s="101" t="s">
        <v>21</v>
      </c>
      <c r="D72" s="101" t="s">
        <v>34</v>
      </c>
      <c r="E72" s="102" t="s">
        <v>78</v>
      </c>
      <c r="F72" s="101" t="s">
        <v>105</v>
      </c>
      <c r="G72" s="102" t="str">
        <f t="shared" si="0"/>
        <v>NuevoDTGeneralAnalizarTrivial</v>
      </c>
      <c r="H72" s="101">
        <f t="shared" si="1"/>
        <v>3.125E-2</v>
      </c>
      <c r="I72" s="101">
        <v>0.25</v>
      </c>
      <c r="J72" s="101"/>
      <c r="K72" s="101"/>
      <c r="L72" s="46"/>
    </row>
    <row r="73" spans="1:12" x14ac:dyDescent="0.25">
      <c r="A73" s="2">
        <v>70</v>
      </c>
      <c r="B73" s="101" t="s">
        <v>35</v>
      </c>
      <c r="C73" s="101" t="s">
        <v>21</v>
      </c>
      <c r="D73" s="101" t="s">
        <v>34</v>
      </c>
      <c r="E73" s="102" t="s">
        <v>78</v>
      </c>
      <c r="F73" s="101" t="s">
        <v>39</v>
      </c>
      <c r="G73" s="102" t="str">
        <f t="shared" si="0"/>
        <v>NuevoDTGeneralAnalizarBaja</v>
      </c>
      <c r="H73" s="101">
        <f t="shared" si="1"/>
        <v>0.375</v>
      </c>
      <c r="I73" s="101">
        <v>3</v>
      </c>
      <c r="J73" s="101"/>
      <c r="K73" s="101"/>
      <c r="L73" s="46"/>
    </row>
    <row r="74" spans="1:12" x14ac:dyDescent="0.25">
      <c r="A74" s="2">
        <v>71</v>
      </c>
      <c r="B74" s="101" t="s">
        <v>35</v>
      </c>
      <c r="C74" s="101" t="s">
        <v>21</v>
      </c>
      <c r="D74" s="101" t="s">
        <v>34</v>
      </c>
      <c r="E74" s="102" t="s">
        <v>78</v>
      </c>
      <c r="F74" s="101" t="s">
        <v>38</v>
      </c>
      <c r="G74" s="102" t="str">
        <f t="shared" si="0"/>
        <v>NuevoDTGeneralAnalizarMedia</v>
      </c>
      <c r="H74" s="101">
        <f t="shared" si="1"/>
        <v>0.625</v>
      </c>
      <c r="I74" s="101">
        <v>5</v>
      </c>
      <c r="J74" s="101"/>
      <c r="K74" s="101"/>
      <c r="L74" s="46"/>
    </row>
    <row r="75" spans="1:12" x14ac:dyDescent="0.25">
      <c r="A75" s="2">
        <v>72</v>
      </c>
      <c r="B75" s="101" t="s">
        <v>35</v>
      </c>
      <c r="C75" s="101" t="s">
        <v>21</v>
      </c>
      <c r="D75" s="101" t="s">
        <v>34</v>
      </c>
      <c r="E75" s="102" t="s">
        <v>78</v>
      </c>
      <c r="F75" s="101" t="s">
        <v>37</v>
      </c>
      <c r="G75" s="102" t="str">
        <f t="shared" si="0"/>
        <v>NuevoDTGeneralAnalizarAlta</v>
      </c>
      <c r="H75" s="101">
        <f t="shared" si="1"/>
        <v>1</v>
      </c>
      <c r="I75" s="101">
        <v>8</v>
      </c>
      <c r="J75" s="101"/>
      <c r="K75" s="101"/>
      <c r="L75" s="46"/>
    </row>
    <row r="76" spans="1:12" x14ac:dyDescent="0.25">
      <c r="A76" s="2">
        <v>73</v>
      </c>
      <c r="B76" s="99" t="s">
        <v>35</v>
      </c>
      <c r="C76" s="99" t="s">
        <v>21</v>
      </c>
      <c r="D76" s="99" t="s">
        <v>34</v>
      </c>
      <c r="E76" s="100" t="s">
        <v>77</v>
      </c>
      <c r="F76" s="99" t="s">
        <v>105</v>
      </c>
      <c r="G76" s="100" t="str">
        <f t="shared" si="0"/>
        <v>NuevoDTGeneralDocumentarTrivial</v>
      </c>
      <c r="H76" s="99">
        <f t="shared" si="1"/>
        <v>3.125E-2</v>
      </c>
      <c r="I76" s="99">
        <v>0.25</v>
      </c>
      <c r="J76" s="99"/>
      <c r="K76" s="99"/>
      <c r="L76" s="46"/>
    </row>
    <row r="77" spans="1:12" x14ac:dyDescent="0.25">
      <c r="A77" s="2">
        <v>74</v>
      </c>
      <c r="B77" s="99" t="s">
        <v>35</v>
      </c>
      <c r="C77" s="99" t="s">
        <v>21</v>
      </c>
      <c r="D77" s="99" t="s">
        <v>34</v>
      </c>
      <c r="E77" s="100" t="s">
        <v>77</v>
      </c>
      <c r="F77" s="99" t="s">
        <v>39</v>
      </c>
      <c r="G77" s="100" t="str">
        <f t="shared" si="0"/>
        <v>NuevoDTGeneralDocumentarBaja</v>
      </c>
      <c r="H77" s="99">
        <f t="shared" si="1"/>
        <v>0.125</v>
      </c>
      <c r="I77" s="99">
        <v>1</v>
      </c>
      <c r="J77" s="99"/>
      <c r="K77" s="99"/>
      <c r="L77" s="46"/>
    </row>
    <row r="78" spans="1:12" x14ac:dyDescent="0.25">
      <c r="A78" s="2">
        <v>75</v>
      </c>
      <c r="B78" s="99" t="s">
        <v>35</v>
      </c>
      <c r="C78" s="99" t="s">
        <v>21</v>
      </c>
      <c r="D78" s="99" t="s">
        <v>34</v>
      </c>
      <c r="E78" s="100" t="s">
        <v>77</v>
      </c>
      <c r="F78" s="99" t="s">
        <v>38</v>
      </c>
      <c r="G78" s="100" t="str">
        <f t="shared" si="0"/>
        <v>NuevoDTGeneralDocumentarMedia</v>
      </c>
      <c r="H78" s="99">
        <f t="shared" si="1"/>
        <v>0.25</v>
      </c>
      <c r="I78" s="99">
        <v>2</v>
      </c>
      <c r="J78" s="99"/>
      <c r="K78" s="99"/>
      <c r="L78" s="46"/>
    </row>
    <row r="79" spans="1:12" x14ac:dyDescent="0.25">
      <c r="A79" s="2">
        <v>76</v>
      </c>
      <c r="B79" s="99" t="s">
        <v>35</v>
      </c>
      <c r="C79" s="99" t="s">
        <v>21</v>
      </c>
      <c r="D79" s="99" t="s">
        <v>34</v>
      </c>
      <c r="E79" s="100" t="s">
        <v>77</v>
      </c>
      <c r="F79" s="99" t="s">
        <v>37</v>
      </c>
      <c r="G79" s="100" t="str">
        <f t="shared" si="0"/>
        <v>NuevoDTGeneralDocumentarAlta</v>
      </c>
      <c r="H79" s="99">
        <f t="shared" si="1"/>
        <v>0.5</v>
      </c>
      <c r="I79" s="99">
        <v>4</v>
      </c>
      <c r="J79" s="99"/>
      <c r="K79" s="99"/>
      <c r="L79" s="46"/>
    </row>
    <row r="80" spans="1:12" x14ac:dyDescent="0.25">
      <c r="A80" s="2">
        <v>77</v>
      </c>
      <c r="B80" s="101" t="s">
        <v>35</v>
      </c>
      <c r="C80" s="101" t="s">
        <v>22</v>
      </c>
      <c r="D80" s="101" t="s">
        <v>32</v>
      </c>
      <c r="E80" s="102" t="s">
        <v>51</v>
      </c>
      <c r="F80" s="101" t="s">
        <v>105</v>
      </c>
      <c r="G80" s="102" t="str">
        <f t="shared" si="0"/>
        <v>NuevoCTCoreServicioTrivial</v>
      </c>
      <c r="H80" s="101">
        <f t="shared" si="1"/>
        <v>3.125E-2</v>
      </c>
      <c r="I80" s="101">
        <v>0.25</v>
      </c>
      <c r="J80" s="101"/>
      <c r="K80" s="101"/>
      <c r="L80" s="46"/>
    </row>
    <row r="81" spans="1:14" x14ac:dyDescent="0.25">
      <c r="A81" s="2">
        <v>78</v>
      </c>
      <c r="B81" s="101" t="s">
        <v>35</v>
      </c>
      <c r="C81" s="101" t="s">
        <v>22</v>
      </c>
      <c r="D81" s="101" t="s">
        <v>32</v>
      </c>
      <c r="E81" s="102" t="s">
        <v>51</v>
      </c>
      <c r="F81" s="101" t="s">
        <v>39</v>
      </c>
      <c r="G81" s="102" t="str">
        <f t="shared" si="0"/>
        <v>NuevoCTCoreServicioBaja</v>
      </c>
      <c r="H81" s="101">
        <f t="shared" si="1"/>
        <v>0.25</v>
      </c>
      <c r="I81" s="101">
        <v>2</v>
      </c>
      <c r="J81" s="101"/>
      <c r="K81" s="101"/>
      <c r="L81" s="46"/>
    </row>
    <row r="82" spans="1:14" x14ac:dyDescent="0.25">
      <c r="A82" s="2">
        <v>79</v>
      </c>
      <c r="B82" s="101" t="s">
        <v>35</v>
      </c>
      <c r="C82" s="101" t="s">
        <v>22</v>
      </c>
      <c r="D82" s="101" t="s">
        <v>32</v>
      </c>
      <c r="E82" s="102" t="s">
        <v>51</v>
      </c>
      <c r="F82" s="101" t="s">
        <v>38</v>
      </c>
      <c r="G82" s="102" t="str">
        <f t="shared" si="0"/>
        <v>NuevoCTCoreServicioMedia</v>
      </c>
      <c r="H82" s="101">
        <f t="shared" si="1"/>
        <v>0.375</v>
      </c>
      <c r="I82" s="101">
        <v>3</v>
      </c>
      <c r="J82" s="101"/>
      <c r="K82" s="101"/>
      <c r="L82" s="46"/>
    </row>
    <row r="83" spans="1:14" x14ac:dyDescent="0.25">
      <c r="A83" s="2">
        <v>80</v>
      </c>
      <c r="B83" s="101" t="s">
        <v>35</v>
      </c>
      <c r="C83" s="101" t="s">
        <v>22</v>
      </c>
      <c r="D83" s="101" t="s">
        <v>32</v>
      </c>
      <c r="E83" s="102" t="s">
        <v>51</v>
      </c>
      <c r="F83" s="101" t="s">
        <v>37</v>
      </c>
      <c r="G83" s="102" t="str">
        <f t="shared" si="0"/>
        <v>NuevoCTCoreServicioAlta</v>
      </c>
      <c r="H83" s="101">
        <f t="shared" si="1"/>
        <v>0.625</v>
      </c>
      <c r="I83" s="101">
        <v>5</v>
      </c>
      <c r="J83" s="101"/>
      <c r="K83" s="101"/>
      <c r="L83" s="46"/>
    </row>
    <row r="84" spans="1:14" x14ac:dyDescent="0.25">
      <c r="A84" s="2">
        <v>81</v>
      </c>
      <c r="B84" s="99" t="s">
        <v>35</v>
      </c>
      <c r="C84" s="99" t="s">
        <v>22</v>
      </c>
      <c r="D84" s="99" t="s">
        <v>32</v>
      </c>
      <c r="E84" s="100" t="s">
        <v>52</v>
      </c>
      <c r="F84" s="99" t="s">
        <v>105</v>
      </c>
      <c r="G84" s="100" t="str">
        <f t="shared" si="0"/>
        <v>NuevoCTCoreDAOTrivial</v>
      </c>
      <c r="H84" s="99">
        <f t="shared" si="1"/>
        <v>3.125E-2</v>
      </c>
      <c r="I84" s="99">
        <v>0.25</v>
      </c>
      <c r="J84" s="99"/>
      <c r="K84" s="99"/>
      <c r="L84" s="46"/>
    </row>
    <row r="85" spans="1:14" x14ac:dyDescent="0.25">
      <c r="A85" s="2">
        <v>82</v>
      </c>
      <c r="B85" s="99" t="s">
        <v>35</v>
      </c>
      <c r="C85" s="99" t="s">
        <v>22</v>
      </c>
      <c r="D85" s="99" t="s">
        <v>32</v>
      </c>
      <c r="E85" s="100" t="s">
        <v>52</v>
      </c>
      <c r="F85" s="99" t="s">
        <v>39</v>
      </c>
      <c r="G85" s="100" t="str">
        <f t="shared" si="0"/>
        <v>NuevoCTCoreDAOBaja</v>
      </c>
      <c r="H85" s="99">
        <f t="shared" si="1"/>
        <v>0.25</v>
      </c>
      <c r="I85" s="99">
        <v>2</v>
      </c>
      <c r="J85" s="99"/>
      <c r="K85" s="99"/>
      <c r="L85" s="46"/>
    </row>
    <row r="86" spans="1:14" x14ac:dyDescent="0.25">
      <c r="A86" s="2">
        <v>83</v>
      </c>
      <c r="B86" s="99" t="s">
        <v>35</v>
      </c>
      <c r="C86" s="99" t="s">
        <v>22</v>
      </c>
      <c r="D86" s="99" t="s">
        <v>32</v>
      </c>
      <c r="E86" s="100" t="s">
        <v>52</v>
      </c>
      <c r="F86" s="99" t="s">
        <v>38</v>
      </c>
      <c r="G86" s="100" t="str">
        <f t="shared" si="0"/>
        <v>NuevoCTCoreDAOMedia</v>
      </c>
      <c r="H86" s="99">
        <f t="shared" si="1"/>
        <v>0.625</v>
      </c>
      <c r="I86" s="99">
        <v>5</v>
      </c>
      <c r="J86" s="99"/>
      <c r="K86" s="99"/>
      <c r="L86" s="46"/>
    </row>
    <row r="87" spans="1:14" x14ac:dyDescent="0.25">
      <c r="A87" s="2">
        <v>84</v>
      </c>
      <c r="B87" s="99" t="s">
        <v>35</v>
      </c>
      <c r="C87" s="99" t="s">
        <v>22</v>
      </c>
      <c r="D87" s="99" t="s">
        <v>32</v>
      </c>
      <c r="E87" s="100" t="s">
        <v>52</v>
      </c>
      <c r="F87" s="99" t="s">
        <v>37</v>
      </c>
      <c r="G87" s="100" t="str">
        <f t="shared" si="0"/>
        <v>NuevoCTCoreDAOAlta</v>
      </c>
      <c r="H87" s="99">
        <f t="shared" si="1"/>
        <v>0.875</v>
      </c>
      <c r="I87" s="99">
        <v>7</v>
      </c>
      <c r="J87" s="99"/>
      <c r="K87" s="99"/>
      <c r="L87" s="46"/>
    </row>
    <row r="88" spans="1:14" x14ac:dyDescent="0.25">
      <c r="A88" s="2">
        <v>85</v>
      </c>
      <c r="B88" s="101" t="s">
        <v>35</v>
      </c>
      <c r="C88" s="101" t="s">
        <v>22</v>
      </c>
      <c r="D88" s="101" t="s">
        <v>32</v>
      </c>
      <c r="E88" s="102" t="s">
        <v>59</v>
      </c>
      <c r="F88" s="101" t="s">
        <v>105</v>
      </c>
      <c r="G88" s="102" t="str">
        <f t="shared" si="0"/>
        <v>NuevoCTCoreBOTrivial</v>
      </c>
      <c r="H88" s="101">
        <f t="shared" ref="H88:H167" si="6">I88/8</f>
        <v>3.125E-2</v>
      </c>
      <c r="I88" s="101">
        <v>0.25</v>
      </c>
      <c r="J88" s="101"/>
      <c r="K88" s="101"/>
      <c r="L88" s="46"/>
      <c r="M88" s="46"/>
      <c r="N88" s="46"/>
    </row>
    <row r="89" spans="1:14" x14ac:dyDescent="0.25">
      <c r="A89" s="2">
        <v>86</v>
      </c>
      <c r="B89" s="101" t="s">
        <v>35</v>
      </c>
      <c r="C89" s="101" t="s">
        <v>22</v>
      </c>
      <c r="D89" s="101" t="s">
        <v>32</v>
      </c>
      <c r="E89" s="102" t="s">
        <v>59</v>
      </c>
      <c r="F89" s="101" t="s">
        <v>39</v>
      </c>
      <c r="G89" s="102" t="str">
        <f t="shared" si="0"/>
        <v>NuevoCTCoreBOBaja</v>
      </c>
      <c r="H89" s="101">
        <f t="shared" si="6"/>
        <v>6.25E-2</v>
      </c>
      <c r="I89" s="101">
        <v>0.5</v>
      </c>
      <c r="J89" s="101"/>
      <c r="K89" s="101"/>
      <c r="L89" s="46"/>
      <c r="M89" s="46"/>
      <c r="N89" s="46"/>
    </row>
    <row r="90" spans="1:14" x14ac:dyDescent="0.25">
      <c r="A90" s="2">
        <v>87</v>
      </c>
      <c r="B90" s="101" t="s">
        <v>35</v>
      </c>
      <c r="C90" s="101" t="s">
        <v>22</v>
      </c>
      <c r="D90" s="101" t="s">
        <v>32</v>
      </c>
      <c r="E90" s="102" t="s">
        <v>59</v>
      </c>
      <c r="F90" s="101" t="s">
        <v>38</v>
      </c>
      <c r="G90" s="102" t="str">
        <f t="shared" si="0"/>
        <v>NuevoCTCoreBOMedia</v>
      </c>
      <c r="H90" s="101">
        <f t="shared" si="6"/>
        <v>9.375E-2</v>
      </c>
      <c r="I90" s="101">
        <v>0.75</v>
      </c>
      <c r="J90" s="101"/>
      <c r="K90" s="101"/>
      <c r="L90" s="46"/>
      <c r="M90" s="46"/>
      <c r="N90" s="46"/>
    </row>
    <row r="91" spans="1:14" x14ac:dyDescent="0.25">
      <c r="A91" s="2">
        <v>88</v>
      </c>
      <c r="B91" s="101" t="s">
        <v>35</v>
      </c>
      <c r="C91" s="101" t="s">
        <v>22</v>
      </c>
      <c r="D91" s="101" t="s">
        <v>32</v>
      </c>
      <c r="E91" s="102" t="s">
        <v>59</v>
      </c>
      <c r="F91" s="101" t="s">
        <v>37</v>
      </c>
      <c r="G91" s="102" t="str">
        <f t="shared" si="0"/>
        <v>NuevoCTCoreBOAlta</v>
      </c>
      <c r="H91" s="101">
        <f t="shared" si="6"/>
        <v>0.125</v>
      </c>
      <c r="I91" s="101">
        <v>1</v>
      </c>
      <c r="J91" s="101"/>
      <c r="K91" s="101"/>
      <c r="L91" s="46"/>
      <c r="M91" s="46"/>
      <c r="N91" s="46"/>
    </row>
    <row r="92" spans="1:14" x14ac:dyDescent="0.25">
      <c r="A92" s="2">
        <v>89</v>
      </c>
      <c r="B92" s="99" t="s">
        <v>35</v>
      </c>
      <c r="C92" s="99" t="s">
        <v>22</v>
      </c>
      <c r="D92" s="99" t="s">
        <v>32</v>
      </c>
      <c r="E92" s="100" t="s">
        <v>60</v>
      </c>
      <c r="F92" s="99" t="s">
        <v>105</v>
      </c>
      <c r="G92" s="100" t="str">
        <f t="shared" si="0"/>
        <v>NuevoCTCoreJASPERTrivial</v>
      </c>
      <c r="H92" s="99">
        <f t="shared" si="6"/>
        <v>3.125E-2</v>
      </c>
      <c r="I92" s="99">
        <v>0.25</v>
      </c>
      <c r="J92" s="99"/>
      <c r="K92" s="99"/>
      <c r="L92" s="46"/>
      <c r="M92" s="46"/>
      <c r="N92" s="46"/>
    </row>
    <row r="93" spans="1:14" x14ac:dyDescent="0.25">
      <c r="A93" s="2">
        <v>90</v>
      </c>
      <c r="B93" s="99" t="s">
        <v>35</v>
      </c>
      <c r="C93" s="99" t="s">
        <v>22</v>
      </c>
      <c r="D93" s="99" t="s">
        <v>32</v>
      </c>
      <c r="E93" s="100" t="s">
        <v>60</v>
      </c>
      <c r="F93" s="99" t="s">
        <v>39</v>
      </c>
      <c r="G93" s="100" t="str">
        <f t="shared" si="0"/>
        <v>NuevoCTCoreJASPERBaja</v>
      </c>
      <c r="H93" s="99">
        <f t="shared" si="6"/>
        <v>0.375</v>
      </c>
      <c r="I93" s="99">
        <v>3</v>
      </c>
      <c r="J93" s="99"/>
      <c r="K93" s="99"/>
      <c r="L93" s="46"/>
      <c r="M93" s="46"/>
      <c r="N93" s="46"/>
    </row>
    <row r="94" spans="1:14" x14ac:dyDescent="0.25">
      <c r="A94" s="2">
        <v>91</v>
      </c>
      <c r="B94" s="99" t="s">
        <v>35</v>
      </c>
      <c r="C94" s="99" t="s">
        <v>22</v>
      </c>
      <c r="D94" s="99" t="s">
        <v>32</v>
      </c>
      <c r="E94" s="100" t="s">
        <v>60</v>
      </c>
      <c r="F94" s="99" t="s">
        <v>38</v>
      </c>
      <c r="G94" s="100" t="str">
        <f t="shared" si="0"/>
        <v>NuevoCTCoreJASPERMedia</v>
      </c>
      <c r="H94" s="99">
        <f t="shared" si="6"/>
        <v>0.875</v>
      </c>
      <c r="I94" s="99">
        <v>7</v>
      </c>
      <c r="J94" s="99"/>
      <c r="K94" s="99"/>
      <c r="L94" s="46"/>
      <c r="M94" s="46"/>
      <c r="N94" s="46"/>
    </row>
    <row r="95" spans="1:14" x14ac:dyDescent="0.25">
      <c r="A95" s="2">
        <v>92</v>
      </c>
      <c r="B95" s="99" t="s">
        <v>35</v>
      </c>
      <c r="C95" s="99" t="s">
        <v>22</v>
      </c>
      <c r="D95" s="99" t="s">
        <v>32</v>
      </c>
      <c r="E95" s="100" t="s">
        <v>60</v>
      </c>
      <c r="F95" s="99" t="s">
        <v>37</v>
      </c>
      <c r="G95" s="100" t="str">
        <f t="shared" si="0"/>
        <v>NuevoCTCoreJASPERAlta</v>
      </c>
      <c r="H95" s="99">
        <f t="shared" si="6"/>
        <v>1.75</v>
      </c>
      <c r="I95" s="99">
        <v>14</v>
      </c>
      <c r="J95" s="99"/>
      <c r="K95" s="99"/>
      <c r="L95" s="46"/>
      <c r="M95" s="46"/>
      <c r="N95" s="46"/>
    </row>
    <row r="96" spans="1:14" x14ac:dyDescent="0.25">
      <c r="A96" s="2">
        <v>93</v>
      </c>
      <c r="B96" s="101" t="s">
        <v>35</v>
      </c>
      <c r="C96" s="101" t="s">
        <v>22</v>
      </c>
      <c r="D96" s="101" t="s">
        <v>32</v>
      </c>
      <c r="E96" s="102" t="s">
        <v>61</v>
      </c>
      <c r="F96" s="101" t="s">
        <v>105</v>
      </c>
      <c r="G96" s="102" t="str">
        <f t="shared" si="0"/>
        <v>NuevoCTCorePOITrivial</v>
      </c>
      <c r="H96" s="101">
        <f t="shared" si="6"/>
        <v>3.125E-2</v>
      </c>
      <c r="I96" s="101">
        <v>0.25</v>
      </c>
      <c r="J96" s="101"/>
      <c r="K96" s="101"/>
      <c r="L96" s="46"/>
      <c r="M96" s="46"/>
      <c r="N96" s="46"/>
    </row>
    <row r="97" spans="1:14" x14ac:dyDescent="0.25">
      <c r="A97" s="2">
        <v>94</v>
      </c>
      <c r="B97" s="101" t="s">
        <v>35</v>
      </c>
      <c r="C97" s="101" t="s">
        <v>22</v>
      </c>
      <c r="D97" s="101" t="s">
        <v>32</v>
      </c>
      <c r="E97" s="102" t="s">
        <v>61</v>
      </c>
      <c r="F97" s="101" t="s">
        <v>39</v>
      </c>
      <c r="G97" s="102" t="str">
        <f t="shared" si="0"/>
        <v>NuevoCTCorePOIBaja</v>
      </c>
      <c r="H97" s="101">
        <f t="shared" si="6"/>
        <v>0.25</v>
      </c>
      <c r="I97" s="101">
        <v>2</v>
      </c>
      <c r="J97" s="101"/>
      <c r="K97" s="101"/>
      <c r="L97" s="46"/>
      <c r="M97" s="46"/>
      <c r="N97" s="46"/>
    </row>
    <row r="98" spans="1:14" x14ac:dyDescent="0.25">
      <c r="A98" s="2">
        <v>95</v>
      </c>
      <c r="B98" s="101" t="s">
        <v>35</v>
      </c>
      <c r="C98" s="101" t="s">
        <v>22</v>
      </c>
      <c r="D98" s="101" t="s">
        <v>32</v>
      </c>
      <c r="E98" s="102" t="s">
        <v>61</v>
      </c>
      <c r="F98" s="101" t="s">
        <v>38</v>
      </c>
      <c r="G98" s="102" t="str">
        <f t="shared" si="0"/>
        <v>NuevoCTCorePOIMedia</v>
      </c>
      <c r="H98" s="101">
        <f t="shared" si="6"/>
        <v>0.5</v>
      </c>
      <c r="I98" s="101">
        <v>4</v>
      </c>
      <c r="J98" s="101"/>
      <c r="K98" s="101"/>
      <c r="L98" s="46"/>
      <c r="M98" s="46"/>
      <c r="N98" s="46"/>
    </row>
    <row r="99" spans="1:14" x14ac:dyDescent="0.25">
      <c r="A99" s="2">
        <v>96</v>
      </c>
      <c r="B99" s="101" t="s">
        <v>35</v>
      </c>
      <c r="C99" s="101" t="s">
        <v>22</v>
      </c>
      <c r="D99" s="101" t="s">
        <v>32</v>
      </c>
      <c r="E99" s="102" t="s">
        <v>61</v>
      </c>
      <c r="F99" s="101" t="s">
        <v>37</v>
      </c>
      <c r="G99" s="102" t="str">
        <f t="shared" si="0"/>
        <v>NuevoCTCorePOIAlta</v>
      </c>
      <c r="H99" s="101">
        <f t="shared" si="6"/>
        <v>0.75</v>
      </c>
      <c r="I99" s="101">
        <v>6</v>
      </c>
      <c r="J99" s="101"/>
      <c r="K99" s="101"/>
      <c r="L99" s="46"/>
      <c r="M99" s="46"/>
      <c r="N99" s="46"/>
    </row>
    <row r="100" spans="1:14" x14ac:dyDescent="0.25">
      <c r="A100" s="2">
        <v>97</v>
      </c>
      <c r="B100" s="99" t="s">
        <v>35</v>
      </c>
      <c r="C100" s="99" t="s">
        <v>22</v>
      </c>
      <c r="D100" s="99" t="s">
        <v>32</v>
      </c>
      <c r="E100" s="100" t="s">
        <v>63</v>
      </c>
      <c r="F100" s="99" t="s">
        <v>105</v>
      </c>
      <c r="G100" s="100" t="str">
        <f t="shared" si="0"/>
        <v>NuevoCTCoreJUNITTrivial</v>
      </c>
      <c r="H100" s="99">
        <f t="shared" si="6"/>
        <v>3.125E-2</v>
      </c>
      <c r="I100" s="99">
        <v>0.25</v>
      </c>
      <c r="J100" s="99"/>
      <c r="K100" s="99"/>
      <c r="L100" s="46"/>
      <c r="M100" s="46"/>
    </row>
    <row r="101" spans="1:14" x14ac:dyDescent="0.25">
      <c r="A101" s="2">
        <v>98</v>
      </c>
      <c r="B101" s="99" t="s">
        <v>35</v>
      </c>
      <c r="C101" s="99" t="s">
        <v>22</v>
      </c>
      <c r="D101" s="99" t="s">
        <v>32</v>
      </c>
      <c r="E101" s="100" t="s">
        <v>63</v>
      </c>
      <c r="F101" s="99" t="s">
        <v>39</v>
      </c>
      <c r="G101" s="100" t="str">
        <f t="shared" si="0"/>
        <v>NuevoCTCoreJUNITBaja</v>
      </c>
      <c r="H101" s="99">
        <f t="shared" si="6"/>
        <v>0.25</v>
      </c>
      <c r="I101" s="99">
        <v>2</v>
      </c>
      <c r="J101" s="99"/>
      <c r="K101" s="99"/>
      <c r="L101" s="46"/>
      <c r="M101" s="46"/>
    </row>
    <row r="102" spans="1:14" x14ac:dyDescent="0.25">
      <c r="A102" s="2">
        <v>99</v>
      </c>
      <c r="B102" s="99" t="s">
        <v>35</v>
      </c>
      <c r="C102" s="99" t="s">
        <v>22</v>
      </c>
      <c r="D102" s="99" t="s">
        <v>32</v>
      </c>
      <c r="E102" s="100" t="s">
        <v>63</v>
      </c>
      <c r="F102" s="99" t="s">
        <v>38</v>
      </c>
      <c r="G102" s="100" t="str">
        <f t="shared" si="0"/>
        <v>NuevoCTCoreJUNITMedia</v>
      </c>
      <c r="H102" s="99">
        <f t="shared" si="6"/>
        <v>0.625</v>
      </c>
      <c r="I102" s="99">
        <v>5</v>
      </c>
      <c r="J102" s="99"/>
      <c r="K102" s="99"/>
      <c r="L102" s="46"/>
      <c r="M102" s="46"/>
    </row>
    <row r="103" spans="1:14" x14ac:dyDescent="0.25">
      <c r="A103" s="2">
        <v>100</v>
      </c>
      <c r="B103" s="99" t="s">
        <v>35</v>
      </c>
      <c r="C103" s="99" t="s">
        <v>22</v>
      </c>
      <c r="D103" s="99" t="s">
        <v>32</v>
      </c>
      <c r="E103" s="100" t="s">
        <v>63</v>
      </c>
      <c r="F103" s="99" t="s">
        <v>37</v>
      </c>
      <c r="G103" s="100" t="str">
        <f t="shared" si="0"/>
        <v>NuevoCTCoreJUNITAlta</v>
      </c>
      <c r="H103" s="99">
        <f t="shared" si="6"/>
        <v>1</v>
      </c>
      <c r="I103" s="99">
        <v>8</v>
      </c>
      <c r="J103" s="99"/>
      <c r="K103" s="99"/>
      <c r="L103" s="46"/>
      <c r="M103" s="46"/>
    </row>
    <row r="104" spans="1:14" x14ac:dyDescent="0.25">
      <c r="A104" s="2">
        <v>101</v>
      </c>
      <c r="B104" s="101" t="s">
        <v>35</v>
      </c>
      <c r="C104" s="101" t="s">
        <v>22</v>
      </c>
      <c r="D104" s="101" t="s">
        <v>32</v>
      </c>
      <c r="E104" s="102" t="s">
        <v>89</v>
      </c>
      <c r="F104" s="101" t="s">
        <v>105</v>
      </c>
      <c r="G104" s="102" t="str">
        <f t="shared" si="0"/>
        <v>NuevoCTCoreRefactor codigoTrivial</v>
      </c>
      <c r="H104" s="101">
        <f t="shared" si="6"/>
        <v>3.125E-2</v>
      </c>
      <c r="I104" s="101">
        <v>0.25</v>
      </c>
      <c r="J104" s="101"/>
      <c r="K104" s="101"/>
      <c r="L104" s="46"/>
      <c r="M104" s="46"/>
      <c r="N104" s="46"/>
    </row>
    <row r="105" spans="1:14" x14ac:dyDescent="0.25">
      <c r="A105" s="2">
        <v>102</v>
      </c>
      <c r="B105" s="101" t="s">
        <v>35</v>
      </c>
      <c r="C105" s="101" t="s">
        <v>22</v>
      </c>
      <c r="D105" s="101" t="s">
        <v>32</v>
      </c>
      <c r="E105" s="102" t="s">
        <v>89</v>
      </c>
      <c r="F105" s="101" t="s">
        <v>39</v>
      </c>
      <c r="G105" s="102" t="str">
        <f t="shared" si="0"/>
        <v>NuevoCTCoreRefactor codigoBaja</v>
      </c>
      <c r="H105" s="101">
        <f t="shared" si="6"/>
        <v>0.375</v>
      </c>
      <c r="I105" s="101">
        <v>3</v>
      </c>
      <c r="J105" s="101"/>
      <c r="K105" s="101"/>
      <c r="L105" s="46"/>
      <c r="M105" s="46"/>
      <c r="N105" s="46"/>
    </row>
    <row r="106" spans="1:14" x14ac:dyDescent="0.25">
      <c r="A106" s="2">
        <v>103</v>
      </c>
      <c r="B106" s="101" t="s">
        <v>35</v>
      </c>
      <c r="C106" s="101" t="s">
        <v>22</v>
      </c>
      <c r="D106" s="101" t="s">
        <v>32</v>
      </c>
      <c r="E106" s="102" t="s">
        <v>89</v>
      </c>
      <c r="F106" s="101" t="s">
        <v>38</v>
      </c>
      <c r="G106" s="102" t="str">
        <f t="shared" si="0"/>
        <v>NuevoCTCoreRefactor codigoMedia</v>
      </c>
      <c r="H106" s="101">
        <f t="shared" si="6"/>
        <v>0.75</v>
      </c>
      <c r="I106" s="101">
        <v>6</v>
      </c>
      <c r="J106" s="101"/>
      <c r="K106" s="101"/>
      <c r="L106" s="46"/>
      <c r="M106" s="46"/>
      <c r="N106" s="46"/>
    </row>
    <row r="107" spans="1:14" x14ac:dyDescent="0.25">
      <c r="A107" s="2">
        <v>104</v>
      </c>
      <c r="B107" s="101" t="s">
        <v>35</v>
      </c>
      <c r="C107" s="101" t="s">
        <v>22</v>
      </c>
      <c r="D107" s="101" t="s">
        <v>32</v>
      </c>
      <c r="E107" s="102" t="s">
        <v>89</v>
      </c>
      <c r="F107" s="101" t="s">
        <v>37</v>
      </c>
      <c r="G107" s="102" t="str">
        <f t="shared" si="0"/>
        <v>NuevoCTCoreRefactor codigoAlta</v>
      </c>
      <c r="H107" s="101">
        <f t="shared" si="6"/>
        <v>1.375</v>
      </c>
      <c r="I107" s="101">
        <v>11</v>
      </c>
      <c r="J107" s="101"/>
      <c r="K107" s="101"/>
      <c r="L107" s="46"/>
      <c r="M107" s="46"/>
      <c r="N107" s="46"/>
    </row>
    <row r="108" spans="1:14" x14ac:dyDescent="0.25">
      <c r="A108" s="2">
        <v>105</v>
      </c>
      <c r="B108" s="99" t="s">
        <v>35</v>
      </c>
      <c r="C108" s="99" t="s">
        <v>22</v>
      </c>
      <c r="D108" s="99" t="s">
        <v>112</v>
      </c>
      <c r="E108" s="100" t="s">
        <v>91</v>
      </c>
      <c r="F108" s="99" t="s">
        <v>105</v>
      </c>
      <c r="G108" s="100" t="str">
        <f t="shared" si="0"/>
        <v>NuevoCTAPI_RESTServicio APITrivial</v>
      </c>
      <c r="H108" s="99">
        <f t="shared" si="6"/>
        <v>3.125E-2</v>
      </c>
      <c r="I108" s="99">
        <v>0.25</v>
      </c>
      <c r="J108" s="99"/>
      <c r="K108" s="99"/>
      <c r="L108" s="46"/>
      <c r="M108" s="46"/>
      <c r="N108" s="46"/>
    </row>
    <row r="109" spans="1:14" x14ac:dyDescent="0.25">
      <c r="A109" s="2">
        <v>106</v>
      </c>
      <c r="B109" s="99" t="s">
        <v>35</v>
      </c>
      <c r="C109" s="99" t="s">
        <v>22</v>
      </c>
      <c r="D109" s="99" t="s">
        <v>112</v>
      </c>
      <c r="E109" s="100" t="s">
        <v>91</v>
      </c>
      <c r="F109" s="99" t="s">
        <v>39</v>
      </c>
      <c r="G109" s="100" t="str">
        <f t="shared" si="0"/>
        <v>NuevoCTAPI_RESTServicio APIBaja</v>
      </c>
      <c r="H109" s="99">
        <f t="shared" si="6"/>
        <v>0.25</v>
      </c>
      <c r="I109" s="99">
        <v>2</v>
      </c>
      <c r="J109" s="99"/>
      <c r="K109" s="99"/>
      <c r="L109" s="46"/>
      <c r="M109" s="46"/>
      <c r="N109" s="46"/>
    </row>
    <row r="110" spans="1:14" x14ac:dyDescent="0.25">
      <c r="A110" s="2">
        <v>107</v>
      </c>
      <c r="B110" s="99" t="s">
        <v>35</v>
      </c>
      <c r="C110" s="99" t="s">
        <v>22</v>
      </c>
      <c r="D110" s="99" t="s">
        <v>112</v>
      </c>
      <c r="E110" s="100" t="s">
        <v>91</v>
      </c>
      <c r="F110" s="99" t="s">
        <v>38</v>
      </c>
      <c r="G110" s="100" t="str">
        <f t="shared" si="0"/>
        <v>NuevoCTAPI_RESTServicio APIMedia</v>
      </c>
      <c r="H110" s="99">
        <f t="shared" si="6"/>
        <v>0.5</v>
      </c>
      <c r="I110" s="99">
        <v>4</v>
      </c>
      <c r="J110" s="99"/>
      <c r="K110" s="99"/>
      <c r="L110" s="46"/>
      <c r="M110" s="46"/>
      <c r="N110" s="46"/>
    </row>
    <row r="111" spans="1:14" x14ac:dyDescent="0.25">
      <c r="A111" s="2">
        <v>108</v>
      </c>
      <c r="B111" s="99" t="s">
        <v>35</v>
      </c>
      <c r="C111" s="99" t="s">
        <v>22</v>
      </c>
      <c r="D111" s="99" t="s">
        <v>112</v>
      </c>
      <c r="E111" s="100" t="s">
        <v>91</v>
      </c>
      <c r="F111" s="99" t="s">
        <v>37</v>
      </c>
      <c r="G111" s="100" t="str">
        <f t="shared" si="0"/>
        <v>NuevoCTAPI_RESTServicio APIAlta</v>
      </c>
      <c r="H111" s="99">
        <f t="shared" si="6"/>
        <v>1</v>
      </c>
      <c r="I111" s="99">
        <v>8</v>
      </c>
      <c r="J111" s="99"/>
      <c r="K111" s="99"/>
      <c r="L111" s="46"/>
      <c r="M111" s="46"/>
      <c r="N111" s="46"/>
    </row>
    <row r="112" spans="1:14" x14ac:dyDescent="0.25">
      <c r="A112" s="2">
        <v>109</v>
      </c>
      <c r="B112" s="101" t="s">
        <v>35</v>
      </c>
      <c r="C112" s="101" t="s">
        <v>22</v>
      </c>
      <c r="D112" s="101" t="s">
        <v>112</v>
      </c>
      <c r="E112" s="102" t="s">
        <v>56</v>
      </c>
      <c r="F112" s="101" t="s">
        <v>105</v>
      </c>
      <c r="G112" s="102" t="str">
        <f t="shared" si="0"/>
        <v>NuevoCTAPI_RESTDTOTrivial</v>
      </c>
      <c r="H112" s="101">
        <f t="shared" si="6"/>
        <v>3.125E-2</v>
      </c>
      <c r="I112" s="101">
        <v>0.25</v>
      </c>
      <c r="J112" s="101"/>
      <c r="K112" s="101"/>
      <c r="L112" s="46"/>
      <c r="M112" s="46"/>
      <c r="N112" s="46"/>
    </row>
    <row r="113" spans="1:14" x14ac:dyDescent="0.25">
      <c r="A113" s="2">
        <v>110</v>
      </c>
      <c r="B113" s="101" t="s">
        <v>35</v>
      </c>
      <c r="C113" s="101" t="s">
        <v>22</v>
      </c>
      <c r="D113" s="101" t="s">
        <v>112</v>
      </c>
      <c r="E113" s="102" t="s">
        <v>56</v>
      </c>
      <c r="F113" s="101" t="s">
        <v>39</v>
      </c>
      <c r="G113" s="102" t="str">
        <f t="shared" si="0"/>
        <v>NuevoCTAPI_RESTDTOBaja</v>
      </c>
      <c r="H113" s="101">
        <f t="shared" si="6"/>
        <v>0.125</v>
      </c>
      <c r="I113" s="101">
        <v>1</v>
      </c>
      <c r="J113" s="101"/>
      <c r="K113" s="101"/>
      <c r="L113" s="46"/>
      <c r="M113" s="46"/>
      <c r="N113" s="46"/>
    </row>
    <row r="114" spans="1:14" x14ac:dyDescent="0.25">
      <c r="A114" s="2">
        <v>111</v>
      </c>
      <c r="B114" s="101" t="s">
        <v>35</v>
      </c>
      <c r="C114" s="101" t="s">
        <v>22</v>
      </c>
      <c r="D114" s="101" t="s">
        <v>112</v>
      </c>
      <c r="E114" s="102" t="s">
        <v>56</v>
      </c>
      <c r="F114" s="101" t="s">
        <v>38</v>
      </c>
      <c r="G114" s="102" t="str">
        <f t="shared" si="0"/>
        <v>NuevoCTAPI_RESTDTOMedia</v>
      </c>
      <c r="H114" s="101">
        <f t="shared" si="6"/>
        <v>0.125</v>
      </c>
      <c r="I114" s="101">
        <v>1</v>
      </c>
      <c r="J114" s="101"/>
      <c r="K114" s="101"/>
      <c r="L114" s="46"/>
      <c r="N114" s="46"/>
    </row>
    <row r="115" spans="1:14" x14ac:dyDescent="0.25">
      <c r="A115" s="2">
        <v>112</v>
      </c>
      <c r="B115" s="101" t="s">
        <v>35</v>
      </c>
      <c r="C115" s="101" t="s">
        <v>22</v>
      </c>
      <c r="D115" s="101" t="s">
        <v>112</v>
      </c>
      <c r="E115" s="102" t="s">
        <v>56</v>
      </c>
      <c r="F115" s="101" t="s">
        <v>37</v>
      </c>
      <c r="G115" s="102" t="str">
        <f t="shared" si="0"/>
        <v>NuevoCTAPI_RESTDTOAlta</v>
      </c>
      <c r="H115" s="101">
        <f t="shared" si="6"/>
        <v>0.25</v>
      </c>
      <c r="I115" s="101">
        <v>2</v>
      </c>
      <c r="J115" s="101"/>
      <c r="K115" s="101"/>
      <c r="L115" s="46"/>
      <c r="N115" s="43"/>
    </row>
    <row r="116" spans="1:14" x14ac:dyDescent="0.25">
      <c r="A116" s="2">
        <v>113</v>
      </c>
      <c r="B116" s="99" t="s">
        <v>35</v>
      </c>
      <c r="C116" s="99" t="s">
        <v>22</v>
      </c>
      <c r="D116" s="99" t="s">
        <v>112</v>
      </c>
      <c r="E116" s="100" t="s">
        <v>80</v>
      </c>
      <c r="F116" s="99" t="s">
        <v>105</v>
      </c>
      <c r="G116" s="100" t="str">
        <f t="shared" si="0"/>
        <v>NuevoCTAPI_RESTJUNIT ApiTrivial</v>
      </c>
      <c r="H116" s="99">
        <f t="shared" si="6"/>
        <v>0</v>
      </c>
      <c r="I116" s="99">
        <v>0</v>
      </c>
      <c r="J116" s="99"/>
      <c r="K116" s="99"/>
      <c r="L116" s="46"/>
    </row>
    <row r="117" spans="1:14" x14ac:dyDescent="0.25">
      <c r="A117" s="2">
        <v>114</v>
      </c>
      <c r="B117" s="99" t="s">
        <v>35</v>
      </c>
      <c r="C117" s="99" t="s">
        <v>22</v>
      </c>
      <c r="D117" s="99" t="s">
        <v>112</v>
      </c>
      <c r="E117" s="100" t="s">
        <v>80</v>
      </c>
      <c r="F117" s="99" t="s">
        <v>39</v>
      </c>
      <c r="G117" s="100" t="str">
        <f t="shared" si="0"/>
        <v>NuevoCTAPI_RESTJUNIT ApiBaja</v>
      </c>
      <c r="H117" s="99">
        <f t="shared" si="6"/>
        <v>0</v>
      </c>
      <c r="I117" s="99">
        <v>0</v>
      </c>
      <c r="J117" s="99"/>
      <c r="K117" s="99"/>
      <c r="L117" s="46"/>
    </row>
    <row r="118" spans="1:14" x14ac:dyDescent="0.25">
      <c r="A118" s="2">
        <v>115</v>
      </c>
      <c r="B118" s="99" t="s">
        <v>35</v>
      </c>
      <c r="C118" s="99" t="s">
        <v>22</v>
      </c>
      <c r="D118" s="99" t="s">
        <v>112</v>
      </c>
      <c r="E118" s="100" t="s">
        <v>80</v>
      </c>
      <c r="F118" s="99" t="s">
        <v>38</v>
      </c>
      <c r="G118" s="100" t="str">
        <f t="shared" si="0"/>
        <v>NuevoCTAPI_RESTJUNIT ApiMedia</v>
      </c>
      <c r="H118" s="99">
        <f t="shared" si="6"/>
        <v>0</v>
      </c>
      <c r="I118" s="99">
        <v>0</v>
      </c>
      <c r="J118" s="99"/>
      <c r="K118" s="99"/>
      <c r="L118" s="46"/>
    </row>
    <row r="119" spans="1:14" x14ac:dyDescent="0.25">
      <c r="A119" s="2">
        <v>116</v>
      </c>
      <c r="B119" s="99" t="s">
        <v>35</v>
      </c>
      <c r="C119" s="99" t="s">
        <v>22</v>
      </c>
      <c r="D119" s="99" t="s">
        <v>112</v>
      </c>
      <c r="E119" s="100" t="s">
        <v>80</v>
      </c>
      <c r="F119" s="99" t="s">
        <v>37</v>
      </c>
      <c r="G119" s="100" t="str">
        <f t="shared" si="0"/>
        <v>NuevoCTAPI_RESTJUNIT ApiAlta</v>
      </c>
      <c r="H119" s="99">
        <f t="shared" si="6"/>
        <v>0</v>
      </c>
      <c r="I119" s="99">
        <v>0</v>
      </c>
      <c r="J119" s="99"/>
      <c r="K119" s="99"/>
      <c r="L119" s="46"/>
    </row>
    <row r="120" spans="1:14" x14ac:dyDescent="0.25">
      <c r="A120" s="2">
        <v>117</v>
      </c>
      <c r="B120" s="101" t="s">
        <v>35</v>
      </c>
      <c r="C120" s="101" t="s">
        <v>22</v>
      </c>
      <c r="D120" s="101" t="s">
        <v>112</v>
      </c>
      <c r="E120" s="102" t="s">
        <v>89</v>
      </c>
      <c r="F120" s="101" t="s">
        <v>105</v>
      </c>
      <c r="G120" s="102" t="str">
        <f t="shared" si="0"/>
        <v>NuevoCTAPI_RESTRefactor codigoTrivial</v>
      </c>
      <c r="H120" s="101">
        <f t="shared" si="6"/>
        <v>3.125E-2</v>
      </c>
      <c r="I120" s="101">
        <v>0.25</v>
      </c>
      <c r="J120" s="101"/>
      <c r="K120" s="101"/>
      <c r="L120" s="46"/>
    </row>
    <row r="121" spans="1:14" x14ac:dyDescent="0.25">
      <c r="A121" s="2">
        <v>118</v>
      </c>
      <c r="B121" s="101" t="s">
        <v>35</v>
      </c>
      <c r="C121" s="101" t="s">
        <v>22</v>
      </c>
      <c r="D121" s="101" t="s">
        <v>112</v>
      </c>
      <c r="E121" s="102" t="s">
        <v>89</v>
      </c>
      <c r="F121" s="101" t="s">
        <v>39</v>
      </c>
      <c r="G121" s="102" t="str">
        <f t="shared" si="0"/>
        <v>NuevoCTAPI_RESTRefactor codigoBaja</v>
      </c>
      <c r="H121" s="101">
        <f t="shared" si="6"/>
        <v>0.25</v>
      </c>
      <c r="I121" s="101">
        <v>2</v>
      </c>
      <c r="J121" s="101"/>
      <c r="K121" s="101"/>
      <c r="L121" s="46"/>
    </row>
    <row r="122" spans="1:14" x14ac:dyDescent="0.25">
      <c r="A122" s="2">
        <v>119</v>
      </c>
      <c r="B122" s="101" t="s">
        <v>35</v>
      </c>
      <c r="C122" s="101" t="s">
        <v>22</v>
      </c>
      <c r="D122" s="101" t="s">
        <v>112</v>
      </c>
      <c r="E122" s="102" t="s">
        <v>89</v>
      </c>
      <c r="F122" s="101" t="s">
        <v>38</v>
      </c>
      <c r="G122" s="102" t="str">
        <f t="shared" si="0"/>
        <v>NuevoCTAPI_RESTRefactor codigoMedia</v>
      </c>
      <c r="H122" s="101">
        <f t="shared" si="6"/>
        <v>0.375</v>
      </c>
      <c r="I122" s="101">
        <v>3</v>
      </c>
      <c r="J122" s="101"/>
      <c r="K122" s="101"/>
      <c r="L122" s="46"/>
    </row>
    <row r="123" spans="1:14" x14ac:dyDescent="0.25">
      <c r="A123" s="2">
        <v>120</v>
      </c>
      <c r="B123" s="101" t="s">
        <v>35</v>
      </c>
      <c r="C123" s="101" t="s">
        <v>22</v>
      </c>
      <c r="D123" s="101" t="s">
        <v>112</v>
      </c>
      <c r="E123" s="102" t="s">
        <v>89</v>
      </c>
      <c r="F123" s="101" t="s">
        <v>37</v>
      </c>
      <c r="G123" s="102" t="str">
        <f t="shared" si="0"/>
        <v>NuevoCTAPI_RESTRefactor codigoAlta</v>
      </c>
      <c r="H123" s="101">
        <f t="shared" si="6"/>
        <v>0.5</v>
      </c>
      <c r="I123" s="101">
        <v>4</v>
      </c>
      <c r="J123" s="101"/>
      <c r="K123" s="101"/>
      <c r="L123" s="46"/>
    </row>
    <row r="124" spans="1:14" x14ac:dyDescent="0.25">
      <c r="A124" s="2">
        <v>121</v>
      </c>
      <c r="B124" s="99" t="s">
        <v>35</v>
      </c>
      <c r="C124" s="99" t="s">
        <v>22</v>
      </c>
      <c r="D124" s="99" t="s">
        <v>113</v>
      </c>
      <c r="E124" s="100" t="s">
        <v>91</v>
      </c>
      <c r="F124" s="99" t="s">
        <v>105</v>
      </c>
      <c r="G124" s="100" t="str">
        <f t="shared" ref="G124:G139" si="7">CONCATENATE(B124,C124,D124,E124,F124)</f>
        <v>NuevoCTAPI_SOAPServicio APITrivial</v>
      </c>
      <c r="H124" s="99">
        <f t="shared" ref="H124:H139" si="8">I124/8</f>
        <v>3.125E-2</v>
      </c>
      <c r="I124" s="99">
        <v>0.25</v>
      </c>
      <c r="J124" s="99"/>
      <c r="K124" s="99"/>
      <c r="L124" s="46"/>
    </row>
    <row r="125" spans="1:14" x14ac:dyDescent="0.25">
      <c r="A125" s="2">
        <v>122</v>
      </c>
      <c r="B125" s="99" t="s">
        <v>35</v>
      </c>
      <c r="C125" s="99" t="s">
        <v>22</v>
      </c>
      <c r="D125" s="99" t="s">
        <v>113</v>
      </c>
      <c r="E125" s="100" t="s">
        <v>91</v>
      </c>
      <c r="F125" s="99" t="s">
        <v>39</v>
      </c>
      <c r="G125" s="100" t="str">
        <f t="shared" si="7"/>
        <v>NuevoCTAPI_SOAPServicio APIBaja</v>
      </c>
      <c r="H125" s="99">
        <f t="shared" si="8"/>
        <v>0.375</v>
      </c>
      <c r="I125" s="99">
        <v>3</v>
      </c>
      <c r="J125" s="99"/>
      <c r="K125" s="99"/>
      <c r="L125" s="46"/>
    </row>
    <row r="126" spans="1:14" x14ac:dyDescent="0.25">
      <c r="A126" s="2">
        <v>123</v>
      </c>
      <c r="B126" s="99" t="s">
        <v>35</v>
      </c>
      <c r="C126" s="99" t="s">
        <v>22</v>
      </c>
      <c r="D126" s="99" t="s">
        <v>113</v>
      </c>
      <c r="E126" s="100" t="s">
        <v>91</v>
      </c>
      <c r="F126" s="99" t="s">
        <v>38</v>
      </c>
      <c r="G126" s="100" t="str">
        <f t="shared" si="7"/>
        <v>NuevoCTAPI_SOAPServicio APIMedia</v>
      </c>
      <c r="H126" s="99">
        <f t="shared" si="8"/>
        <v>0.625</v>
      </c>
      <c r="I126" s="99">
        <v>5</v>
      </c>
      <c r="J126" s="99"/>
      <c r="K126" s="99"/>
      <c r="L126" s="46"/>
    </row>
    <row r="127" spans="1:14" x14ac:dyDescent="0.25">
      <c r="A127" s="2">
        <v>124</v>
      </c>
      <c r="B127" s="99" t="s">
        <v>35</v>
      </c>
      <c r="C127" s="99" t="s">
        <v>22</v>
      </c>
      <c r="D127" s="99" t="s">
        <v>113</v>
      </c>
      <c r="E127" s="100" t="s">
        <v>91</v>
      </c>
      <c r="F127" s="99" t="s">
        <v>37</v>
      </c>
      <c r="G127" s="100" t="str">
        <f t="shared" si="7"/>
        <v>NuevoCTAPI_SOAPServicio APIAlta</v>
      </c>
      <c r="H127" s="99">
        <f t="shared" si="8"/>
        <v>1.125</v>
      </c>
      <c r="I127" s="99">
        <v>9</v>
      </c>
      <c r="J127" s="99"/>
      <c r="K127" s="99"/>
      <c r="L127" s="46"/>
    </row>
    <row r="128" spans="1:14" x14ac:dyDescent="0.25">
      <c r="A128" s="2">
        <v>125</v>
      </c>
      <c r="B128" s="101" t="s">
        <v>35</v>
      </c>
      <c r="C128" s="101" t="s">
        <v>22</v>
      </c>
      <c r="D128" s="101" t="s">
        <v>113</v>
      </c>
      <c r="E128" s="102" t="s">
        <v>56</v>
      </c>
      <c r="F128" s="101" t="s">
        <v>105</v>
      </c>
      <c r="G128" s="102" t="str">
        <f t="shared" si="7"/>
        <v>NuevoCTAPI_SOAPDTOTrivial</v>
      </c>
      <c r="H128" s="101">
        <f t="shared" si="8"/>
        <v>3.125E-2</v>
      </c>
      <c r="I128" s="101">
        <v>0.25</v>
      </c>
      <c r="J128" s="101"/>
      <c r="K128" s="101"/>
      <c r="L128" s="43"/>
    </row>
    <row r="129" spans="1:12" x14ac:dyDescent="0.25">
      <c r="A129" s="2">
        <v>126</v>
      </c>
      <c r="B129" s="101" t="s">
        <v>35</v>
      </c>
      <c r="C129" s="101" t="s">
        <v>22</v>
      </c>
      <c r="D129" s="101" t="s">
        <v>113</v>
      </c>
      <c r="E129" s="102" t="s">
        <v>56</v>
      </c>
      <c r="F129" s="101" t="s">
        <v>39</v>
      </c>
      <c r="G129" s="102" t="str">
        <f t="shared" si="7"/>
        <v>NuevoCTAPI_SOAPDTOBaja</v>
      </c>
      <c r="H129" s="101">
        <f t="shared" si="8"/>
        <v>0.125</v>
      </c>
      <c r="I129" s="101">
        <v>1</v>
      </c>
      <c r="J129" s="101"/>
      <c r="K129" s="101"/>
      <c r="L129" s="43"/>
    </row>
    <row r="130" spans="1:12" x14ac:dyDescent="0.25">
      <c r="A130" s="2">
        <v>127</v>
      </c>
      <c r="B130" s="101" t="s">
        <v>35</v>
      </c>
      <c r="C130" s="101" t="s">
        <v>22</v>
      </c>
      <c r="D130" s="101" t="s">
        <v>113</v>
      </c>
      <c r="E130" s="102" t="s">
        <v>56</v>
      </c>
      <c r="F130" s="101" t="s">
        <v>38</v>
      </c>
      <c r="G130" s="102" t="str">
        <f t="shared" si="7"/>
        <v>NuevoCTAPI_SOAPDTOMedia</v>
      </c>
      <c r="H130" s="101">
        <f t="shared" si="8"/>
        <v>0.25</v>
      </c>
      <c r="I130" s="101">
        <v>2</v>
      </c>
      <c r="J130" s="101"/>
      <c r="K130" s="101"/>
      <c r="L130" s="46"/>
    </row>
    <row r="131" spans="1:12" x14ac:dyDescent="0.25">
      <c r="A131" s="2">
        <v>128</v>
      </c>
      <c r="B131" s="101" t="s">
        <v>35</v>
      </c>
      <c r="C131" s="101" t="s">
        <v>22</v>
      </c>
      <c r="D131" s="101" t="s">
        <v>113</v>
      </c>
      <c r="E131" s="102" t="s">
        <v>56</v>
      </c>
      <c r="F131" s="101" t="s">
        <v>37</v>
      </c>
      <c r="G131" s="102" t="str">
        <f t="shared" si="7"/>
        <v>NuevoCTAPI_SOAPDTOAlta</v>
      </c>
      <c r="H131" s="101">
        <f t="shared" si="8"/>
        <v>0.25</v>
      </c>
      <c r="I131" s="101">
        <v>2</v>
      </c>
      <c r="J131" s="101"/>
      <c r="K131" s="101"/>
      <c r="L131" s="46"/>
    </row>
    <row r="132" spans="1:12" x14ac:dyDescent="0.25">
      <c r="A132" s="2">
        <v>129</v>
      </c>
      <c r="B132" s="99" t="s">
        <v>35</v>
      </c>
      <c r="C132" s="99" t="s">
        <v>22</v>
      </c>
      <c r="D132" s="99" t="s">
        <v>113</v>
      </c>
      <c r="E132" s="100" t="s">
        <v>80</v>
      </c>
      <c r="F132" s="99" t="s">
        <v>105</v>
      </c>
      <c r="G132" s="100" t="str">
        <f t="shared" si="7"/>
        <v>NuevoCTAPI_SOAPJUNIT ApiTrivial</v>
      </c>
      <c r="H132" s="99">
        <f t="shared" si="8"/>
        <v>0</v>
      </c>
      <c r="I132" s="99">
        <v>0</v>
      </c>
      <c r="J132" s="99"/>
      <c r="K132" s="99"/>
      <c r="L132" s="46"/>
    </row>
    <row r="133" spans="1:12" x14ac:dyDescent="0.25">
      <c r="A133" s="2">
        <v>130</v>
      </c>
      <c r="B133" s="99" t="s">
        <v>35</v>
      </c>
      <c r="C133" s="99" t="s">
        <v>22</v>
      </c>
      <c r="D133" s="99" t="s">
        <v>113</v>
      </c>
      <c r="E133" s="100" t="s">
        <v>80</v>
      </c>
      <c r="F133" s="99" t="s">
        <v>39</v>
      </c>
      <c r="G133" s="100" t="str">
        <f t="shared" si="7"/>
        <v>NuevoCTAPI_SOAPJUNIT ApiBaja</v>
      </c>
      <c r="H133" s="99">
        <f t="shared" si="8"/>
        <v>0</v>
      </c>
      <c r="I133" s="99">
        <v>0</v>
      </c>
      <c r="J133" s="99"/>
      <c r="K133" s="99"/>
      <c r="L133" s="46"/>
    </row>
    <row r="134" spans="1:12" x14ac:dyDescent="0.25">
      <c r="A134" s="2">
        <v>131</v>
      </c>
      <c r="B134" s="99" t="s">
        <v>35</v>
      </c>
      <c r="C134" s="99" t="s">
        <v>22</v>
      </c>
      <c r="D134" s="99" t="s">
        <v>113</v>
      </c>
      <c r="E134" s="100" t="s">
        <v>80</v>
      </c>
      <c r="F134" s="99" t="s">
        <v>38</v>
      </c>
      <c r="G134" s="100" t="str">
        <f t="shared" si="7"/>
        <v>NuevoCTAPI_SOAPJUNIT ApiMedia</v>
      </c>
      <c r="H134" s="99">
        <f t="shared" si="8"/>
        <v>0</v>
      </c>
      <c r="I134" s="99">
        <v>0</v>
      </c>
      <c r="J134" s="99"/>
      <c r="K134" s="99"/>
      <c r="L134" s="43"/>
    </row>
    <row r="135" spans="1:12" x14ac:dyDescent="0.25">
      <c r="A135" s="2">
        <v>132</v>
      </c>
      <c r="B135" s="99" t="s">
        <v>35</v>
      </c>
      <c r="C135" s="99" t="s">
        <v>22</v>
      </c>
      <c r="D135" s="99" t="s">
        <v>113</v>
      </c>
      <c r="E135" s="100" t="s">
        <v>80</v>
      </c>
      <c r="F135" s="99" t="s">
        <v>37</v>
      </c>
      <c r="G135" s="100" t="str">
        <f t="shared" si="7"/>
        <v>NuevoCTAPI_SOAPJUNIT ApiAlta</v>
      </c>
      <c r="H135" s="99">
        <f t="shared" si="8"/>
        <v>0</v>
      </c>
      <c r="I135" s="99">
        <v>0</v>
      </c>
      <c r="J135" s="99"/>
      <c r="K135" s="99"/>
      <c r="L135" s="46"/>
    </row>
    <row r="136" spans="1:12" x14ac:dyDescent="0.25">
      <c r="A136" s="2">
        <v>133</v>
      </c>
      <c r="B136" s="101" t="s">
        <v>35</v>
      </c>
      <c r="C136" s="101" t="s">
        <v>22</v>
      </c>
      <c r="D136" s="101" t="s">
        <v>113</v>
      </c>
      <c r="E136" s="102" t="s">
        <v>89</v>
      </c>
      <c r="F136" s="101" t="s">
        <v>105</v>
      </c>
      <c r="G136" s="102" t="str">
        <f t="shared" si="7"/>
        <v>NuevoCTAPI_SOAPRefactor codigoTrivial</v>
      </c>
      <c r="H136" s="101">
        <f t="shared" si="8"/>
        <v>3.125E-2</v>
      </c>
      <c r="I136" s="101">
        <v>0.25</v>
      </c>
      <c r="J136" s="101"/>
      <c r="K136" s="101"/>
      <c r="L136" s="46"/>
    </row>
    <row r="137" spans="1:12" x14ac:dyDescent="0.25">
      <c r="A137" s="2">
        <v>134</v>
      </c>
      <c r="B137" s="101" t="s">
        <v>35</v>
      </c>
      <c r="C137" s="101" t="s">
        <v>22</v>
      </c>
      <c r="D137" s="101" t="s">
        <v>113</v>
      </c>
      <c r="E137" s="102" t="s">
        <v>89</v>
      </c>
      <c r="F137" s="101" t="s">
        <v>39</v>
      </c>
      <c r="G137" s="102" t="str">
        <f t="shared" si="7"/>
        <v>NuevoCTAPI_SOAPRefactor codigoBaja</v>
      </c>
      <c r="H137" s="101">
        <f t="shared" si="8"/>
        <v>0.25</v>
      </c>
      <c r="I137" s="101">
        <v>2</v>
      </c>
      <c r="J137" s="101"/>
      <c r="K137" s="101"/>
      <c r="L137" s="46"/>
    </row>
    <row r="138" spans="1:12" x14ac:dyDescent="0.25">
      <c r="A138" s="2">
        <v>135</v>
      </c>
      <c r="B138" s="101" t="s">
        <v>35</v>
      </c>
      <c r="C138" s="101" t="s">
        <v>22</v>
      </c>
      <c r="D138" s="101" t="s">
        <v>113</v>
      </c>
      <c r="E138" s="102" t="s">
        <v>89</v>
      </c>
      <c r="F138" s="101" t="s">
        <v>38</v>
      </c>
      <c r="G138" s="102" t="str">
        <f t="shared" si="7"/>
        <v>NuevoCTAPI_SOAPRefactor codigoMedia</v>
      </c>
      <c r="H138" s="101">
        <f t="shared" si="8"/>
        <v>0.375</v>
      </c>
      <c r="I138" s="101">
        <v>3</v>
      </c>
      <c r="J138" s="101"/>
      <c r="K138" s="101"/>
      <c r="L138" s="46"/>
    </row>
    <row r="139" spans="1:12" x14ac:dyDescent="0.25">
      <c r="A139" s="2">
        <v>136</v>
      </c>
      <c r="B139" s="101" t="s">
        <v>35</v>
      </c>
      <c r="C139" s="101" t="s">
        <v>22</v>
      </c>
      <c r="D139" s="101" t="s">
        <v>113</v>
      </c>
      <c r="E139" s="102" t="s">
        <v>89</v>
      </c>
      <c r="F139" s="101" t="s">
        <v>37</v>
      </c>
      <c r="G139" s="102" t="str">
        <f t="shared" si="7"/>
        <v>NuevoCTAPI_SOAPRefactor codigoAlta</v>
      </c>
      <c r="H139" s="101">
        <f t="shared" si="8"/>
        <v>0.5</v>
      </c>
      <c r="I139" s="101">
        <v>4</v>
      </c>
      <c r="J139" s="101"/>
      <c r="K139" s="101"/>
      <c r="L139" s="43"/>
    </row>
    <row r="140" spans="1:12" x14ac:dyDescent="0.25">
      <c r="A140" s="2">
        <v>137</v>
      </c>
      <c r="B140" s="99" t="s">
        <v>35</v>
      </c>
      <c r="C140" s="99" t="s">
        <v>22</v>
      </c>
      <c r="D140" s="99" t="s">
        <v>33</v>
      </c>
      <c r="E140" s="100" t="s">
        <v>54</v>
      </c>
      <c r="F140" s="99" t="s">
        <v>105</v>
      </c>
      <c r="G140" s="100" t="str">
        <f t="shared" si="0"/>
        <v>NuevoCTFrontalControladorTrivial</v>
      </c>
      <c r="H140" s="99">
        <f t="shared" si="6"/>
        <v>3.125E-2</v>
      </c>
      <c r="I140" s="99">
        <v>0.25</v>
      </c>
      <c r="J140" s="99"/>
      <c r="K140" s="99"/>
      <c r="L140" s="46"/>
    </row>
    <row r="141" spans="1:12" x14ac:dyDescent="0.25">
      <c r="A141" s="2">
        <v>138</v>
      </c>
      <c r="B141" s="99" t="s">
        <v>35</v>
      </c>
      <c r="C141" s="99" t="s">
        <v>22</v>
      </c>
      <c r="D141" s="99" t="s">
        <v>33</v>
      </c>
      <c r="E141" s="100" t="s">
        <v>54</v>
      </c>
      <c r="F141" s="99" t="s">
        <v>39</v>
      </c>
      <c r="G141" s="100" t="str">
        <f t="shared" si="0"/>
        <v>NuevoCTFrontalControladorBaja</v>
      </c>
      <c r="H141" s="99">
        <f t="shared" si="6"/>
        <v>0.25</v>
      </c>
      <c r="I141" s="99">
        <v>2</v>
      </c>
      <c r="J141" s="99"/>
      <c r="K141" s="99"/>
      <c r="L141" s="46"/>
    </row>
    <row r="142" spans="1:12" x14ac:dyDescent="0.25">
      <c r="A142" s="2">
        <v>139</v>
      </c>
      <c r="B142" s="99" t="s">
        <v>35</v>
      </c>
      <c r="C142" s="99" t="s">
        <v>22</v>
      </c>
      <c r="D142" s="99" t="s">
        <v>33</v>
      </c>
      <c r="E142" s="100" t="s">
        <v>54</v>
      </c>
      <c r="F142" s="99" t="s">
        <v>38</v>
      </c>
      <c r="G142" s="100" t="str">
        <f t="shared" si="0"/>
        <v>NuevoCTFrontalControladorMedia</v>
      </c>
      <c r="H142" s="99">
        <f t="shared" si="6"/>
        <v>0.5</v>
      </c>
      <c r="I142" s="99">
        <v>4</v>
      </c>
      <c r="J142" s="99"/>
      <c r="K142" s="99"/>
      <c r="L142" s="46"/>
    </row>
    <row r="143" spans="1:12" x14ac:dyDescent="0.25">
      <c r="A143" s="2">
        <v>140</v>
      </c>
      <c r="B143" s="99" t="s">
        <v>35</v>
      </c>
      <c r="C143" s="99" t="s">
        <v>22</v>
      </c>
      <c r="D143" s="99" t="s">
        <v>33</v>
      </c>
      <c r="E143" s="100" t="s">
        <v>54</v>
      </c>
      <c r="F143" s="99" t="s">
        <v>37</v>
      </c>
      <c r="G143" s="100" t="str">
        <f t="shared" si="0"/>
        <v>NuevoCTFrontalControladorAlta</v>
      </c>
      <c r="H143" s="99">
        <f t="shared" si="6"/>
        <v>0.75</v>
      </c>
      <c r="I143" s="99">
        <v>6</v>
      </c>
      <c r="J143" s="99"/>
      <c r="K143" s="99"/>
      <c r="L143" s="46"/>
    </row>
    <row r="144" spans="1:12" x14ac:dyDescent="0.25">
      <c r="A144" s="2">
        <v>141</v>
      </c>
      <c r="B144" s="101" t="s">
        <v>35</v>
      </c>
      <c r="C144" s="101" t="s">
        <v>22</v>
      </c>
      <c r="D144" s="101" t="s">
        <v>33</v>
      </c>
      <c r="E144" s="102" t="s">
        <v>53</v>
      </c>
      <c r="F144" s="101" t="s">
        <v>105</v>
      </c>
      <c r="G144" s="102" t="str">
        <f t="shared" si="0"/>
        <v>NuevoCTFrontalJSTrivial</v>
      </c>
      <c r="H144" s="101">
        <f t="shared" si="6"/>
        <v>3.125E-2</v>
      </c>
      <c r="I144" s="101">
        <v>0.25</v>
      </c>
      <c r="J144" s="101"/>
      <c r="K144" s="101"/>
      <c r="L144" s="46"/>
    </row>
    <row r="145" spans="1:12" x14ac:dyDescent="0.25">
      <c r="A145" s="2">
        <v>142</v>
      </c>
      <c r="B145" s="101" t="s">
        <v>35</v>
      </c>
      <c r="C145" s="101" t="s">
        <v>22</v>
      </c>
      <c r="D145" s="101" t="s">
        <v>33</v>
      </c>
      <c r="E145" s="102" t="s">
        <v>53</v>
      </c>
      <c r="F145" s="101" t="s">
        <v>39</v>
      </c>
      <c r="G145" s="102" t="str">
        <f t="shared" si="0"/>
        <v>NuevoCTFrontalJSBaja</v>
      </c>
      <c r="H145" s="101">
        <f t="shared" si="6"/>
        <v>0.125</v>
      </c>
      <c r="I145" s="101">
        <v>1</v>
      </c>
      <c r="J145" s="101"/>
      <c r="K145" s="101"/>
      <c r="L145" s="46"/>
    </row>
    <row r="146" spans="1:12" x14ac:dyDescent="0.25">
      <c r="A146" s="2">
        <v>143</v>
      </c>
      <c r="B146" s="101" t="s">
        <v>35</v>
      </c>
      <c r="C146" s="101" t="s">
        <v>22</v>
      </c>
      <c r="D146" s="101" t="s">
        <v>33</v>
      </c>
      <c r="E146" s="102" t="s">
        <v>53</v>
      </c>
      <c r="F146" s="101" t="s">
        <v>38</v>
      </c>
      <c r="G146" s="102" t="str">
        <f t="shared" si="0"/>
        <v>NuevoCTFrontalJSMedia</v>
      </c>
      <c r="H146" s="101">
        <f t="shared" si="6"/>
        <v>0.375</v>
      </c>
      <c r="I146" s="101">
        <v>3</v>
      </c>
      <c r="J146" s="101"/>
      <c r="K146" s="101"/>
      <c r="L146" s="46"/>
    </row>
    <row r="147" spans="1:12" x14ac:dyDescent="0.25">
      <c r="A147" s="2">
        <v>144</v>
      </c>
      <c r="B147" s="101" t="s">
        <v>35</v>
      </c>
      <c r="C147" s="101" t="s">
        <v>22</v>
      </c>
      <c r="D147" s="101" t="s">
        <v>33</v>
      </c>
      <c r="E147" s="102" t="s">
        <v>53</v>
      </c>
      <c r="F147" s="101" t="s">
        <v>37</v>
      </c>
      <c r="G147" s="102" t="str">
        <f t="shared" si="0"/>
        <v>NuevoCTFrontalJSAlta</v>
      </c>
      <c r="H147" s="101">
        <f t="shared" si="6"/>
        <v>0.625</v>
      </c>
      <c r="I147" s="101">
        <v>5</v>
      </c>
      <c r="J147" s="101"/>
      <c r="K147" s="101"/>
      <c r="L147" s="46"/>
    </row>
    <row r="148" spans="1:12" x14ac:dyDescent="0.25">
      <c r="A148" s="2">
        <v>145</v>
      </c>
      <c r="B148" s="99" t="s">
        <v>35</v>
      </c>
      <c r="C148" s="99" t="s">
        <v>22</v>
      </c>
      <c r="D148" s="99" t="s">
        <v>33</v>
      </c>
      <c r="E148" s="100" t="s">
        <v>55</v>
      </c>
      <c r="F148" s="99" t="s">
        <v>105</v>
      </c>
      <c r="G148" s="100" t="str">
        <f t="shared" si="0"/>
        <v>NuevoCTFrontalHTMLTrivial</v>
      </c>
      <c r="H148" s="99">
        <f t="shared" si="6"/>
        <v>3.125E-2</v>
      </c>
      <c r="I148" s="99">
        <v>0.25</v>
      </c>
      <c r="J148" s="99"/>
      <c r="K148" s="99"/>
      <c r="L148" s="46"/>
    </row>
    <row r="149" spans="1:12" x14ac:dyDescent="0.25">
      <c r="A149" s="2">
        <v>146</v>
      </c>
      <c r="B149" s="99" t="s">
        <v>35</v>
      </c>
      <c r="C149" s="99" t="s">
        <v>22</v>
      </c>
      <c r="D149" s="99" t="s">
        <v>33</v>
      </c>
      <c r="E149" s="100" t="s">
        <v>55</v>
      </c>
      <c r="F149" s="99" t="s">
        <v>39</v>
      </c>
      <c r="G149" s="100" t="str">
        <f t="shared" si="0"/>
        <v>NuevoCTFrontalHTMLBaja</v>
      </c>
      <c r="H149" s="99">
        <f t="shared" si="6"/>
        <v>0.125</v>
      </c>
      <c r="I149" s="99">
        <v>1</v>
      </c>
      <c r="J149" s="99"/>
      <c r="K149" s="99"/>
      <c r="L149" s="46"/>
    </row>
    <row r="150" spans="1:12" x14ac:dyDescent="0.25">
      <c r="A150" s="2">
        <v>147</v>
      </c>
      <c r="B150" s="99" t="s">
        <v>35</v>
      </c>
      <c r="C150" s="99" t="s">
        <v>22</v>
      </c>
      <c r="D150" s="99" t="s">
        <v>33</v>
      </c>
      <c r="E150" s="100" t="s">
        <v>55</v>
      </c>
      <c r="F150" s="99" t="s">
        <v>38</v>
      </c>
      <c r="G150" s="100" t="str">
        <f t="shared" si="0"/>
        <v>NuevoCTFrontalHTMLMedia</v>
      </c>
      <c r="H150" s="99">
        <f t="shared" si="6"/>
        <v>0.375</v>
      </c>
      <c r="I150" s="99">
        <v>3</v>
      </c>
      <c r="J150" s="99"/>
      <c r="K150" s="99"/>
      <c r="L150" s="46"/>
    </row>
    <row r="151" spans="1:12" x14ac:dyDescent="0.25">
      <c r="A151" s="2">
        <v>148</v>
      </c>
      <c r="B151" s="99" t="s">
        <v>35</v>
      </c>
      <c r="C151" s="99" t="s">
        <v>22</v>
      </c>
      <c r="D151" s="99" t="s">
        <v>33</v>
      </c>
      <c r="E151" s="100" t="s">
        <v>55</v>
      </c>
      <c r="F151" s="99" t="s">
        <v>37</v>
      </c>
      <c r="G151" s="100" t="str">
        <f t="shared" si="0"/>
        <v>NuevoCTFrontalHTMLAlta</v>
      </c>
      <c r="H151" s="99">
        <f t="shared" si="6"/>
        <v>0.625</v>
      </c>
      <c r="I151" s="99">
        <v>5</v>
      </c>
      <c r="J151" s="99"/>
      <c r="K151" s="99"/>
      <c r="L151" s="46"/>
    </row>
    <row r="152" spans="1:12" x14ac:dyDescent="0.25">
      <c r="A152" s="2">
        <v>149</v>
      </c>
      <c r="B152" s="101" t="s">
        <v>35</v>
      </c>
      <c r="C152" s="101" t="s">
        <v>22</v>
      </c>
      <c r="D152" s="101" t="s">
        <v>33</v>
      </c>
      <c r="E152" s="102" t="s">
        <v>82</v>
      </c>
      <c r="F152" s="101" t="s">
        <v>105</v>
      </c>
      <c r="G152" s="102" t="str">
        <f t="shared" si="0"/>
        <v>NuevoCTFrontalJUNIT JSTrivial</v>
      </c>
      <c r="H152" s="101">
        <f t="shared" si="6"/>
        <v>0</v>
      </c>
      <c r="I152" s="101">
        <v>0</v>
      </c>
      <c r="J152" s="101"/>
      <c r="K152" s="101"/>
      <c r="L152" s="46"/>
    </row>
    <row r="153" spans="1:12" x14ac:dyDescent="0.25">
      <c r="A153" s="2">
        <v>150</v>
      </c>
      <c r="B153" s="101" t="s">
        <v>35</v>
      </c>
      <c r="C153" s="101" t="s">
        <v>22</v>
      </c>
      <c r="D153" s="101" t="s">
        <v>33</v>
      </c>
      <c r="E153" s="102" t="s">
        <v>82</v>
      </c>
      <c r="F153" s="101" t="s">
        <v>39</v>
      </c>
      <c r="G153" s="102" t="str">
        <f t="shared" si="0"/>
        <v>NuevoCTFrontalJUNIT JSBaja</v>
      </c>
      <c r="H153" s="101">
        <f t="shared" si="6"/>
        <v>0</v>
      </c>
      <c r="I153" s="101">
        <v>0</v>
      </c>
      <c r="J153" s="101"/>
      <c r="K153" s="101"/>
      <c r="L153" s="46"/>
    </row>
    <row r="154" spans="1:12" x14ac:dyDescent="0.25">
      <c r="A154" s="2">
        <v>151</v>
      </c>
      <c r="B154" s="101" t="s">
        <v>35</v>
      </c>
      <c r="C154" s="101" t="s">
        <v>22</v>
      </c>
      <c r="D154" s="101" t="s">
        <v>33</v>
      </c>
      <c r="E154" s="102" t="s">
        <v>82</v>
      </c>
      <c r="F154" s="101" t="s">
        <v>38</v>
      </c>
      <c r="G154" s="102" t="str">
        <f t="shared" si="0"/>
        <v>NuevoCTFrontalJUNIT JSMedia</v>
      </c>
      <c r="H154" s="101">
        <f t="shared" si="6"/>
        <v>0</v>
      </c>
      <c r="I154" s="101">
        <v>0</v>
      </c>
      <c r="J154" s="101"/>
      <c r="K154" s="101"/>
      <c r="L154" s="46"/>
    </row>
    <row r="155" spans="1:12" x14ac:dyDescent="0.25">
      <c r="A155" s="2">
        <v>152</v>
      </c>
      <c r="B155" s="101" t="s">
        <v>35</v>
      </c>
      <c r="C155" s="101" t="s">
        <v>22</v>
      </c>
      <c r="D155" s="101" t="s">
        <v>33</v>
      </c>
      <c r="E155" s="102" t="s">
        <v>82</v>
      </c>
      <c r="F155" s="101" t="s">
        <v>37</v>
      </c>
      <c r="G155" s="102" t="str">
        <f t="shared" si="0"/>
        <v>NuevoCTFrontalJUNIT JSAlta</v>
      </c>
      <c r="H155" s="101">
        <f t="shared" si="6"/>
        <v>0</v>
      </c>
      <c r="I155" s="101">
        <v>0</v>
      </c>
      <c r="J155" s="101"/>
      <c r="K155" s="101"/>
      <c r="L155" s="46"/>
    </row>
    <row r="156" spans="1:12" x14ac:dyDescent="0.25">
      <c r="A156" s="2">
        <v>153</v>
      </c>
      <c r="B156" s="99" t="s">
        <v>35</v>
      </c>
      <c r="C156" s="99" t="s">
        <v>22</v>
      </c>
      <c r="D156" s="99" t="s">
        <v>33</v>
      </c>
      <c r="E156" s="100" t="s">
        <v>81</v>
      </c>
      <c r="F156" s="99" t="s">
        <v>105</v>
      </c>
      <c r="G156" s="100" t="str">
        <f t="shared" si="0"/>
        <v>NuevoCTFrontalJUNIT ControllerTrivial</v>
      </c>
      <c r="H156" s="99">
        <f t="shared" si="6"/>
        <v>0</v>
      </c>
      <c r="I156" s="99">
        <v>0</v>
      </c>
      <c r="J156" s="99"/>
      <c r="K156" s="99"/>
      <c r="L156" s="46"/>
    </row>
    <row r="157" spans="1:12" x14ac:dyDescent="0.25">
      <c r="A157" s="2">
        <v>154</v>
      </c>
      <c r="B157" s="99" t="s">
        <v>35</v>
      </c>
      <c r="C157" s="99" t="s">
        <v>22</v>
      </c>
      <c r="D157" s="99" t="s">
        <v>33</v>
      </c>
      <c r="E157" s="100" t="s">
        <v>81</v>
      </c>
      <c r="F157" s="99" t="s">
        <v>39</v>
      </c>
      <c r="G157" s="100" t="str">
        <f t="shared" si="0"/>
        <v>NuevoCTFrontalJUNIT ControllerBaja</v>
      </c>
      <c r="H157" s="99">
        <f t="shared" si="6"/>
        <v>0</v>
      </c>
      <c r="I157" s="99">
        <v>0</v>
      </c>
      <c r="J157" s="99"/>
      <c r="K157" s="99"/>
      <c r="L157" s="46"/>
    </row>
    <row r="158" spans="1:12" x14ac:dyDescent="0.25">
      <c r="A158" s="2">
        <v>155</v>
      </c>
      <c r="B158" s="99" t="s">
        <v>35</v>
      </c>
      <c r="C158" s="99" t="s">
        <v>22</v>
      </c>
      <c r="D158" s="99" t="s">
        <v>33</v>
      </c>
      <c r="E158" s="100" t="s">
        <v>81</v>
      </c>
      <c r="F158" s="99" t="s">
        <v>38</v>
      </c>
      <c r="G158" s="100" t="str">
        <f t="shared" si="0"/>
        <v>NuevoCTFrontalJUNIT ControllerMedia</v>
      </c>
      <c r="H158" s="99">
        <f t="shared" si="6"/>
        <v>0</v>
      </c>
      <c r="I158" s="99">
        <v>0</v>
      </c>
      <c r="J158" s="99"/>
      <c r="K158" s="99"/>
      <c r="L158" s="43"/>
    </row>
    <row r="159" spans="1:12" x14ac:dyDescent="0.25">
      <c r="A159" s="2">
        <v>156</v>
      </c>
      <c r="B159" s="99" t="s">
        <v>35</v>
      </c>
      <c r="C159" s="99" t="s">
        <v>22</v>
      </c>
      <c r="D159" s="99" t="s">
        <v>33</v>
      </c>
      <c r="E159" s="100" t="s">
        <v>81</v>
      </c>
      <c r="F159" s="99" t="s">
        <v>37</v>
      </c>
      <c r="G159" s="100" t="str">
        <f t="shared" si="0"/>
        <v>NuevoCTFrontalJUNIT ControllerAlta</v>
      </c>
      <c r="H159" s="99">
        <f t="shared" si="6"/>
        <v>0</v>
      </c>
      <c r="I159" s="99">
        <v>0</v>
      </c>
      <c r="J159" s="99"/>
      <c r="K159" s="99"/>
      <c r="L159" s="46"/>
    </row>
    <row r="160" spans="1:12" x14ac:dyDescent="0.25">
      <c r="A160" s="2">
        <v>157</v>
      </c>
      <c r="B160" s="101" t="s">
        <v>35</v>
      </c>
      <c r="C160" s="101" t="s">
        <v>22</v>
      </c>
      <c r="D160" s="101" t="s">
        <v>33</v>
      </c>
      <c r="E160" s="102" t="s">
        <v>89</v>
      </c>
      <c r="F160" s="101" t="s">
        <v>105</v>
      </c>
      <c r="G160" s="102" t="str">
        <f t="shared" si="0"/>
        <v>NuevoCTFrontalRefactor codigoTrivial</v>
      </c>
      <c r="H160" s="101">
        <f t="shared" si="6"/>
        <v>3.125E-2</v>
      </c>
      <c r="I160" s="101">
        <v>0.25</v>
      </c>
      <c r="J160" s="101"/>
      <c r="K160" s="101"/>
      <c r="L160" s="46"/>
    </row>
    <row r="161" spans="1:12" x14ac:dyDescent="0.25">
      <c r="A161" s="2">
        <v>158</v>
      </c>
      <c r="B161" s="101" t="s">
        <v>35</v>
      </c>
      <c r="C161" s="101" t="s">
        <v>22</v>
      </c>
      <c r="D161" s="101" t="s">
        <v>33</v>
      </c>
      <c r="E161" s="102" t="s">
        <v>89</v>
      </c>
      <c r="F161" s="101" t="s">
        <v>39</v>
      </c>
      <c r="G161" s="102" t="str">
        <f t="shared" si="0"/>
        <v>NuevoCTFrontalRefactor codigoBaja</v>
      </c>
      <c r="H161" s="101">
        <f t="shared" si="6"/>
        <v>0.375</v>
      </c>
      <c r="I161" s="101">
        <v>3</v>
      </c>
      <c r="J161" s="101"/>
      <c r="K161" s="101"/>
      <c r="L161" s="46"/>
    </row>
    <row r="162" spans="1:12" x14ac:dyDescent="0.25">
      <c r="A162" s="2">
        <v>159</v>
      </c>
      <c r="B162" s="101" t="s">
        <v>35</v>
      </c>
      <c r="C162" s="101" t="s">
        <v>22</v>
      </c>
      <c r="D162" s="101" t="s">
        <v>33</v>
      </c>
      <c r="E162" s="102" t="s">
        <v>89</v>
      </c>
      <c r="F162" s="101" t="s">
        <v>38</v>
      </c>
      <c r="G162" s="102" t="str">
        <f t="shared" si="0"/>
        <v>NuevoCTFrontalRefactor codigoMedia</v>
      </c>
      <c r="H162" s="101">
        <f t="shared" si="6"/>
        <v>0.75</v>
      </c>
      <c r="I162" s="101">
        <v>6</v>
      </c>
      <c r="J162" s="101"/>
      <c r="K162" s="101"/>
      <c r="L162" s="43"/>
    </row>
    <row r="163" spans="1:12" x14ac:dyDescent="0.25">
      <c r="A163" s="2">
        <v>160</v>
      </c>
      <c r="B163" s="101" t="s">
        <v>35</v>
      </c>
      <c r="C163" s="101" t="s">
        <v>22</v>
      </c>
      <c r="D163" s="101" t="s">
        <v>33</v>
      </c>
      <c r="E163" s="102" t="s">
        <v>89</v>
      </c>
      <c r="F163" s="101" t="s">
        <v>37</v>
      </c>
      <c r="G163" s="102" t="str">
        <f t="shared" si="0"/>
        <v>NuevoCTFrontalRefactor codigoAlta</v>
      </c>
      <c r="H163" s="101">
        <f t="shared" si="6"/>
        <v>1.125</v>
      </c>
      <c r="I163" s="101">
        <v>9</v>
      </c>
      <c r="J163" s="101"/>
      <c r="K163" s="101"/>
      <c r="L163" s="46"/>
    </row>
    <row r="164" spans="1:12" x14ac:dyDescent="0.25">
      <c r="A164" s="2">
        <v>161</v>
      </c>
      <c r="B164" s="99" t="s">
        <v>35</v>
      </c>
      <c r="C164" s="99" t="s">
        <v>22</v>
      </c>
      <c r="D164" s="99" t="s">
        <v>34</v>
      </c>
      <c r="E164" s="100" t="s">
        <v>69</v>
      </c>
      <c r="F164" s="99" t="s">
        <v>105</v>
      </c>
      <c r="G164" s="100" t="str">
        <f t="shared" ref="G164:G183" si="9">CONCATENATE(B164,C164,D164,E164,F164)</f>
        <v>NuevoCTGeneralConstrucionTrivial</v>
      </c>
      <c r="H164" s="99">
        <f t="shared" si="6"/>
        <v>3.125E-2</v>
      </c>
      <c r="I164" s="99">
        <v>0.25</v>
      </c>
      <c r="J164" s="99"/>
      <c r="K164" s="99"/>
      <c r="L164" s="46"/>
    </row>
    <row r="165" spans="1:12" x14ac:dyDescent="0.25">
      <c r="A165" s="2">
        <v>162</v>
      </c>
      <c r="B165" s="99" t="s">
        <v>35</v>
      </c>
      <c r="C165" s="99" t="s">
        <v>22</v>
      </c>
      <c r="D165" s="99" t="s">
        <v>34</v>
      </c>
      <c r="E165" s="100" t="s">
        <v>69</v>
      </c>
      <c r="F165" s="99" t="s">
        <v>39</v>
      </c>
      <c r="G165" s="100" t="str">
        <f t="shared" si="9"/>
        <v>NuevoCTGeneralConstrucionBaja</v>
      </c>
      <c r="H165" s="99">
        <f t="shared" si="6"/>
        <v>0.375</v>
      </c>
      <c r="I165" s="99">
        <v>3</v>
      </c>
      <c r="J165" s="99"/>
      <c r="K165" s="99"/>
      <c r="L165" s="46"/>
    </row>
    <row r="166" spans="1:12" x14ac:dyDescent="0.25">
      <c r="A166" s="2">
        <v>163</v>
      </c>
      <c r="B166" s="99" t="s">
        <v>35</v>
      </c>
      <c r="C166" s="99" t="s">
        <v>22</v>
      </c>
      <c r="D166" s="99" t="s">
        <v>34</v>
      </c>
      <c r="E166" s="100" t="s">
        <v>69</v>
      </c>
      <c r="F166" s="99" t="s">
        <v>38</v>
      </c>
      <c r="G166" s="100" t="str">
        <f t="shared" si="9"/>
        <v>NuevoCTGeneralConstrucionMedia</v>
      </c>
      <c r="H166" s="99">
        <f t="shared" si="6"/>
        <v>0.75</v>
      </c>
      <c r="I166" s="99">
        <v>6</v>
      </c>
      <c r="J166" s="99"/>
      <c r="K166" s="99"/>
      <c r="L166" s="43"/>
    </row>
    <row r="167" spans="1:12" x14ac:dyDescent="0.25">
      <c r="A167" s="2">
        <v>164</v>
      </c>
      <c r="B167" s="99" t="s">
        <v>35</v>
      </c>
      <c r="C167" s="99" t="s">
        <v>22</v>
      </c>
      <c r="D167" s="99" t="s">
        <v>34</v>
      </c>
      <c r="E167" s="100" t="s">
        <v>69</v>
      </c>
      <c r="F167" s="99" t="s">
        <v>37</v>
      </c>
      <c r="G167" s="100" t="str">
        <f t="shared" si="9"/>
        <v>NuevoCTGeneralConstrucionAlta</v>
      </c>
      <c r="H167" s="99">
        <f t="shared" si="6"/>
        <v>1.125</v>
      </c>
      <c r="I167" s="99">
        <v>9</v>
      </c>
      <c r="J167" s="99"/>
      <c r="K167" s="99"/>
      <c r="L167" s="43"/>
    </row>
    <row r="168" spans="1:12" x14ac:dyDescent="0.25">
      <c r="A168" s="2">
        <v>165</v>
      </c>
      <c r="B168" s="101" t="s">
        <v>35</v>
      </c>
      <c r="C168" s="101" t="s">
        <v>29</v>
      </c>
      <c r="D168" s="101" t="s">
        <v>52</v>
      </c>
      <c r="E168" s="102" t="s">
        <v>84</v>
      </c>
      <c r="F168" s="101" t="s">
        <v>105</v>
      </c>
      <c r="G168" s="102" t="str">
        <f t="shared" si="9"/>
        <v>NuevoMDDAOToma RequerimientosTrivial</v>
      </c>
      <c r="H168" s="101">
        <f t="shared" ref="H168:H183" si="10">I168/8</f>
        <v>3.125E-2</v>
      </c>
      <c r="I168" s="101">
        <v>0.25</v>
      </c>
      <c r="J168" s="101"/>
      <c r="K168" s="101"/>
      <c r="L168" s="43"/>
    </row>
    <row r="169" spans="1:12" x14ac:dyDescent="0.25">
      <c r="A169" s="2">
        <v>166</v>
      </c>
      <c r="B169" s="101" t="s">
        <v>35</v>
      </c>
      <c r="C169" s="101" t="s">
        <v>29</v>
      </c>
      <c r="D169" s="101" t="s">
        <v>52</v>
      </c>
      <c r="E169" s="102" t="s">
        <v>84</v>
      </c>
      <c r="F169" s="101" t="s">
        <v>39</v>
      </c>
      <c r="G169" s="102" t="str">
        <f t="shared" si="9"/>
        <v>NuevoMDDAOToma RequerimientosBaja</v>
      </c>
      <c r="H169" s="101">
        <f t="shared" si="10"/>
        <v>0.125</v>
      </c>
      <c r="I169" s="101">
        <v>1</v>
      </c>
      <c r="J169" s="101"/>
      <c r="K169" s="101"/>
      <c r="L169" s="43"/>
    </row>
    <row r="170" spans="1:12" x14ac:dyDescent="0.25">
      <c r="A170" s="2">
        <v>167</v>
      </c>
      <c r="B170" s="101" t="s">
        <v>35</v>
      </c>
      <c r="C170" s="101" t="s">
        <v>29</v>
      </c>
      <c r="D170" s="101" t="s">
        <v>52</v>
      </c>
      <c r="E170" s="102" t="s">
        <v>84</v>
      </c>
      <c r="F170" s="101" t="s">
        <v>38</v>
      </c>
      <c r="G170" s="102" t="str">
        <f t="shared" si="9"/>
        <v>NuevoMDDAOToma RequerimientosMedia</v>
      </c>
      <c r="H170" s="101">
        <f t="shared" si="10"/>
        <v>0.25</v>
      </c>
      <c r="I170" s="101">
        <v>2</v>
      </c>
      <c r="J170" s="101"/>
      <c r="K170" s="101"/>
      <c r="L170" s="43"/>
    </row>
    <row r="171" spans="1:12" x14ac:dyDescent="0.25">
      <c r="A171" s="2">
        <v>168</v>
      </c>
      <c r="B171" s="101" t="s">
        <v>35</v>
      </c>
      <c r="C171" s="101" t="s">
        <v>29</v>
      </c>
      <c r="D171" s="101" t="s">
        <v>52</v>
      </c>
      <c r="E171" s="102" t="s">
        <v>84</v>
      </c>
      <c r="F171" s="101" t="s">
        <v>37</v>
      </c>
      <c r="G171" s="102" t="str">
        <f t="shared" si="9"/>
        <v>NuevoMDDAOToma RequerimientosAlta</v>
      </c>
      <c r="H171" s="101">
        <f t="shared" si="10"/>
        <v>0.375</v>
      </c>
      <c r="I171" s="101">
        <v>3</v>
      </c>
      <c r="J171" s="101"/>
      <c r="K171" s="101"/>
      <c r="L171" s="43"/>
    </row>
    <row r="172" spans="1:12" x14ac:dyDescent="0.25">
      <c r="A172" s="2">
        <v>169</v>
      </c>
      <c r="B172" s="99" t="s">
        <v>35</v>
      </c>
      <c r="C172" s="99" t="s">
        <v>29</v>
      </c>
      <c r="D172" s="99" t="s">
        <v>52</v>
      </c>
      <c r="E172" s="100" t="s">
        <v>85</v>
      </c>
      <c r="F172" s="99" t="s">
        <v>105</v>
      </c>
      <c r="G172" s="100" t="str">
        <f t="shared" si="9"/>
        <v>NuevoMDDAOEspera ImplementacionTrivial</v>
      </c>
      <c r="H172" s="99">
        <f t="shared" si="10"/>
        <v>3.125E-2</v>
      </c>
      <c r="I172" s="99">
        <v>0.25</v>
      </c>
      <c r="J172" s="99"/>
      <c r="K172" s="99"/>
      <c r="L172" s="43"/>
    </row>
    <row r="173" spans="1:12" x14ac:dyDescent="0.25">
      <c r="A173" s="2">
        <v>170</v>
      </c>
      <c r="B173" s="99" t="s">
        <v>35</v>
      </c>
      <c r="C173" s="99" t="s">
        <v>29</v>
      </c>
      <c r="D173" s="99" t="s">
        <v>52</v>
      </c>
      <c r="E173" s="100" t="s">
        <v>85</v>
      </c>
      <c r="F173" s="99" t="s">
        <v>39</v>
      </c>
      <c r="G173" s="100" t="str">
        <f t="shared" si="9"/>
        <v>NuevoMDDAOEspera ImplementacionBaja</v>
      </c>
      <c r="H173" s="99">
        <f t="shared" si="10"/>
        <v>0.5</v>
      </c>
      <c r="I173" s="99">
        <v>4</v>
      </c>
      <c r="J173" s="99"/>
      <c r="K173" s="99"/>
      <c r="L173" s="46"/>
    </row>
    <row r="174" spans="1:12" x14ac:dyDescent="0.25">
      <c r="A174" s="2">
        <v>171</v>
      </c>
      <c r="B174" s="99" t="s">
        <v>35</v>
      </c>
      <c r="C174" s="99" t="s">
        <v>29</v>
      </c>
      <c r="D174" s="99" t="s">
        <v>52</v>
      </c>
      <c r="E174" s="100" t="s">
        <v>85</v>
      </c>
      <c r="F174" s="99" t="s">
        <v>38</v>
      </c>
      <c r="G174" s="100" t="str">
        <f t="shared" si="9"/>
        <v>NuevoMDDAOEspera ImplementacionMedia</v>
      </c>
      <c r="H174" s="99">
        <f t="shared" si="10"/>
        <v>0.75</v>
      </c>
      <c r="I174" s="99">
        <v>6</v>
      </c>
      <c r="J174" s="99"/>
      <c r="K174" s="99"/>
      <c r="L174" s="46"/>
    </row>
    <row r="175" spans="1:12" x14ac:dyDescent="0.25">
      <c r="A175" s="2">
        <v>172</v>
      </c>
      <c r="B175" s="99" t="s">
        <v>35</v>
      </c>
      <c r="C175" s="99" t="s">
        <v>29</v>
      </c>
      <c r="D175" s="99" t="s">
        <v>52</v>
      </c>
      <c r="E175" s="100" t="s">
        <v>85</v>
      </c>
      <c r="F175" s="99" t="s">
        <v>37</v>
      </c>
      <c r="G175" s="100" t="str">
        <f t="shared" si="9"/>
        <v>NuevoMDDAOEspera ImplementacionAlta</v>
      </c>
      <c r="H175" s="99">
        <f t="shared" si="10"/>
        <v>1.5</v>
      </c>
      <c r="I175" s="99">
        <v>12</v>
      </c>
      <c r="J175" s="99"/>
      <c r="K175" s="99"/>
      <c r="L175" s="46"/>
    </row>
    <row r="176" spans="1:12" x14ac:dyDescent="0.25">
      <c r="A176" s="2">
        <v>173</v>
      </c>
      <c r="B176" s="101" t="s">
        <v>35</v>
      </c>
      <c r="C176" s="101" t="s">
        <v>29</v>
      </c>
      <c r="D176" s="101" t="s">
        <v>52</v>
      </c>
      <c r="E176" s="102" t="s">
        <v>92</v>
      </c>
      <c r="F176" s="101" t="s">
        <v>105</v>
      </c>
      <c r="G176" s="102" t="str">
        <f t="shared" si="9"/>
        <v>NuevoMDDAOOperar Base DatosTrivial</v>
      </c>
      <c r="H176" s="101">
        <f t="shared" si="10"/>
        <v>3.125E-2</v>
      </c>
      <c r="I176" s="101">
        <v>0.25</v>
      </c>
      <c r="J176" s="101"/>
      <c r="K176" s="101"/>
      <c r="L176" s="43"/>
    </row>
    <row r="177" spans="1:12" x14ac:dyDescent="0.25">
      <c r="A177" s="2">
        <v>174</v>
      </c>
      <c r="B177" s="101" t="s">
        <v>35</v>
      </c>
      <c r="C177" s="101" t="s">
        <v>29</v>
      </c>
      <c r="D177" s="101" t="s">
        <v>52</v>
      </c>
      <c r="E177" s="102" t="s">
        <v>92</v>
      </c>
      <c r="F177" s="101" t="s">
        <v>39</v>
      </c>
      <c r="G177" s="102" t="str">
        <f t="shared" si="9"/>
        <v>NuevoMDDAOOperar Base DatosBaja</v>
      </c>
      <c r="H177" s="101">
        <f t="shared" si="10"/>
        <v>0.125</v>
      </c>
      <c r="I177" s="101">
        <v>1</v>
      </c>
      <c r="J177" s="101"/>
      <c r="K177" s="101"/>
      <c r="L177" s="46"/>
    </row>
    <row r="178" spans="1:12" x14ac:dyDescent="0.25">
      <c r="A178" s="2">
        <v>175</v>
      </c>
      <c r="B178" s="101" t="s">
        <v>35</v>
      </c>
      <c r="C178" s="101" t="s">
        <v>29</v>
      </c>
      <c r="D178" s="101" t="s">
        <v>52</v>
      </c>
      <c r="E178" s="102" t="s">
        <v>92</v>
      </c>
      <c r="F178" s="101" t="s">
        <v>38</v>
      </c>
      <c r="G178" s="102" t="str">
        <f t="shared" si="9"/>
        <v>NuevoMDDAOOperar Base DatosMedia</v>
      </c>
      <c r="H178" s="101">
        <f t="shared" si="10"/>
        <v>0.25</v>
      </c>
      <c r="I178" s="101">
        <v>2</v>
      </c>
      <c r="J178" s="101"/>
      <c r="K178" s="101"/>
      <c r="L178" s="46"/>
    </row>
    <row r="179" spans="1:12" x14ac:dyDescent="0.25">
      <c r="A179" s="2">
        <v>176</v>
      </c>
      <c r="B179" s="101" t="s">
        <v>35</v>
      </c>
      <c r="C179" s="101" t="s">
        <v>29</v>
      </c>
      <c r="D179" s="101" t="s">
        <v>52</v>
      </c>
      <c r="E179" s="102" t="s">
        <v>92</v>
      </c>
      <c r="F179" s="101" t="s">
        <v>37</v>
      </c>
      <c r="G179" s="102" t="str">
        <f t="shared" si="9"/>
        <v>NuevoMDDAOOperar Base DatosAlta</v>
      </c>
      <c r="H179" s="101">
        <f t="shared" si="10"/>
        <v>0.25</v>
      </c>
      <c r="I179" s="101">
        <v>2</v>
      </c>
      <c r="J179" s="101"/>
      <c r="K179" s="101"/>
      <c r="L179" s="46"/>
    </row>
    <row r="180" spans="1:12" x14ac:dyDescent="0.25">
      <c r="A180" s="2">
        <v>177</v>
      </c>
      <c r="B180" s="99" t="s">
        <v>35</v>
      </c>
      <c r="C180" s="99" t="s">
        <v>64</v>
      </c>
      <c r="D180" s="99" t="s">
        <v>34</v>
      </c>
      <c r="E180" s="100" t="s">
        <v>72</v>
      </c>
      <c r="F180" s="99" t="s">
        <v>105</v>
      </c>
      <c r="G180" s="100" t="str">
        <f t="shared" si="9"/>
        <v>NuevoCEGeneralConfiguracion EntornoTrivial</v>
      </c>
      <c r="H180" s="99">
        <f t="shared" si="10"/>
        <v>3.125E-2</v>
      </c>
      <c r="I180" s="99">
        <v>0.25</v>
      </c>
      <c r="J180" s="99"/>
      <c r="K180" s="99"/>
      <c r="L180" s="43"/>
    </row>
    <row r="181" spans="1:12" x14ac:dyDescent="0.25">
      <c r="A181" s="2">
        <v>178</v>
      </c>
      <c r="B181" s="99" t="s">
        <v>35</v>
      </c>
      <c r="C181" s="99" t="s">
        <v>64</v>
      </c>
      <c r="D181" s="99" t="s">
        <v>34</v>
      </c>
      <c r="E181" s="100" t="s">
        <v>72</v>
      </c>
      <c r="F181" s="99" t="s">
        <v>39</v>
      </c>
      <c r="G181" s="100" t="str">
        <f t="shared" si="9"/>
        <v>NuevoCEGeneralConfiguracion EntornoBaja</v>
      </c>
      <c r="H181" s="99">
        <f t="shared" si="10"/>
        <v>0.25</v>
      </c>
      <c r="I181" s="99">
        <v>2</v>
      </c>
      <c r="J181" s="99"/>
      <c r="K181" s="99"/>
      <c r="L181" s="46"/>
    </row>
    <row r="182" spans="1:12" x14ac:dyDescent="0.25">
      <c r="A182" s="2">
        <v>179</v>
      </c>
      <c r="B182" s="99" t="s">
        <v>35</v>
      </c>
      <c r="C182" s="99" t="s">
        <v>64</v>
      </c>
      <c r="D182" s="99" t="s">
        <v>34</v>
      </c>
      <c r="E182" s="100" t="s">
        <v>72</v>
      </c>
      <c r="F182" s="99" t="s">
        <v>38</v>
      </c>
      <c r="G182" s="100" t="str">
        <f t="shared" si="9"/>
        <v>NuevoCEGeneralConfiguracion EntornoMedia</v>
      </c>
      <c r="H182" s="99">
        <f t="shared" si="10"/>
        <v>0.625</v>
      </c>
      <c r="I182" s="99">
        <v>5</v>
      </c>
      <c r="J182" s="99"/>
      <c r="K182" s="99"/>
      <c r="L182" s="46"/>
    </row>
    <row r="183" spans="1:12" x14ac:dyDescent="0.25">
      <c r="A183" s="2">
        <v>180</v>
      </c>
      <c r="B183" s="99" t="s">
        <v>35</v>
      </c>
      <c r="C183" s="99" t="s">
        <v>64</v>
      </c>
      <c r="D183" s="99" t="s">
        <v>34</v>
      </c>
      <c r="E183" s="100" t="s">
        <v>72</v>
      </c>
      <c r="F183" s="99" t="s">
        <v>37</v>
      </c>
      <c r="G183" s="100" t="str">
        <f t="shared" si="9"/>
        <v>NuevoCEGeneralConfiguracion EntornoAlta</v>
      </c>
      <c r="H183" s="99">
        <f t="shared" si="10"/>
        <v>1.125</v>
      </c>
      <c r="I183" s="99">
        <v>9</v>
      </c>
      <c r="J183" s="99"/>
      <c r="K183" s="99"/>
      <c r="L183" s="46"/>
    </row>
    <row r="184" spans="1:12" x14ac:dyDescent="0.25">
      <c r="A184" s="2">
        <v>181</v>
      </c>
      <c r="B184" s="101"/>
      <c r="C184" s="101"/>
      <c r="D184" s="101"/>
      <c r="E184" s="102"/>
      <c r="F184" s="101"/>
      <c r="G184" s="102" t="str">
        <f t="shared" ref="G184:G232" si="11">CONCATENATE(B184,C184,D184,E184,F184)</f>
        <v/>
      </c>
      <c r="H184" s="101">
        <f t="shared" ref="H184:H205" si="12">I184/8</f>
        <v>0</v>
      </c>
      <c r="I184" s="101"/>
      <c r="J184" s="101"/>
      <c r="K184" s="101"/>
      <c r="L184" s="46"/>
    </row>
    <row r="185" spans="1:12" x14ac:dyDescent="0.25">
      <c r="A185" s="2">
        <v>182</v>
      </c>
      <c r="B185" s="101"/>
      <c r="C185" s="101"/>
      <c r="D185" s="101"/>
      <c r="E185" s="102"/>
      <c r="F185" s="101"/>
      <c r="G185" s="102" t="str">
        <f t="shared" si="11"/>
        <v/>
      </c>
      <c r="H185" s="101">
        <f t="shared" si="12"/>
        <v>0</v>
      </c>
      <c r="I185" s="101"/>
      <c r="J185" s="101"/>
      <c r="K185" s="101"/>
      <c r="L185" s="46"/>
    </row>
    <row r="186" spans="1:12" x14ac:dyDescent="0.25">
      <c r="A186" s="2">
        <v>183</v>
      </c>
      <c r="B186" s="101"/>
      <c r="C186" s="101"/>
      <c r="D186" s="101"/>
      <c r="E186" s="102"/>
      <c r="F186" s="101"/>
      <c r="G186" s="102" t="str">
        <f t="shared" si="11"/>
        <v/>
      </c>
      <c r="H186" s="101">
        <f t="shared" si="12"/>
        <v>0</v>
      </c>
      <c r="I186" s="101"/>
      <c r="J186" s="101"/>
      <c r="K186" s="101"/>
      <c r="L186" s="46"/>
    </row>
    <row r="187" spans="1:12" x14ac:dyDescent="0.25">
      <c r="A187" s="2">
        <v>184</v>
      </c>
      <c r="B187" s="101"/>
      <c r="C187" s="101"/>
      <c r="D187" s="101"/>
      <c r="E187" s="102"/>
      <c r="F187" s="101"/>
      <c r="G187" s="102" t="str">
        <f t="shared" si="11"/>
        <v/>
      </c>
      <c r="H187" s="101">
        <f t="shared" si="12"/>
        <v>0</v>
      </c>
      <c r="I187" s="101"/>
      <c r="J187" s="101"/>
      <c r="K187" s="101"/>
      <c r="L187" s="46"/>
    </row>
    <row r="188" spans="1:12" x14ac:dyDescent="0.25">
      <c r="A188" s="2">
        <v>185</v>
      </c>
      <c r="B188" s="99"/>
      <c r="C188" s="99"/>
      <c r="D188" s="99"/>
      <c r="E188" s="100"/>
      <c r="F188" s="99"/>
      <c r="G188" s="100" t="str">
        <f t="shared" si="11"/>
        <v/>
      </c>
      <c r="H188" s="99">
        <f t="shared" si="12"/>
        <v>0</v>
      </c>
      <c r="I188" s="99"/>
      <c r="J188" s="99"/>
      <c r="K188" s="99"/>
      <c r="L188" s="46"/>
    </row>
    <row r="189" spans="1:12" x14ac:dyDescent="0.25">
      <c r="A189" s="2">
        <v>186</v>
      </c>
      <c r="B189" s="99"/>
      <c r="C189" s="99"/>
      <c r="D189" s="99"/>
      <c r="E189" s="100"/>
      <c r="F189" s="99"/>
      <c r="G189" s="100" t="str">
        <f t="shared" si="11"/>
        <v/>
      </c>
      <c r="H189" s="99">
        <f t="shared" si="12"/>
        <v>0</v>
      </c>
      <c r="I189" s="99"/>
      <c r="J189" s="99"/>
      <c r="K189" s="99"/>
      <c r="L189" s="46"/>
    </row>
    <row r="190" spans="1:12" x14ac:dyDescent="0.25">
      <c r="A190" s="2">
        <v>187</v>
      </c>
      <c r="B190" s="99"/>
      <c r="C190" s="99"/>
      <c r="D190" s="99"/>
      <c r="E190" s="100"/>
      <c r="F190" s="99"/>
      <c r="G190" s="100" t="str">
        <f t="shared" si="11"/>
        <v/>
      </c>
      <c r="H190" s="99">
        <f t="shared" si="12"/>
        <v>0</v>
      </c>
      <c r="I190" s="99"/>
      <c r="J190" s="99"/>
      <c r="K190" s="99"/>
      <c r="L190" s="46"/>
    </row>
    <row r="191" spans="1:12" x14ac:dyDescent="0.25">
      <c r="A191" s="2">
        <v>188</v>
      </c>
      <c r="B191" s="99"/>
      <c r="C191" s="99"/>
      <c r="D191" s="99"/>
      <c r="E191" s="100"/>
      <c r="F191" s="99"/>
      <c r="G191" s="100" t="str">
        <f t="shared" si="11"/>
        <v/>
      </c>
      <c r="H191" s="99">
        <f t="shared" si="12"/>
        <v>0</v>
      </c>
      <c r="I191" s="99"/>
      <c r="J191" s="99"/>
      <c r="K191" s="99"/>
      <c r="L191" s="46"/>
    </row>
    <row r="192" spans="1:12" x14ac:dyDescent="0.25">
      <c r="A192" s="2">
        <v>189</v>
      </c>
      <c r="B192" s="101"/>
      <c r="C192" s="101"/>
      <c r="D192" s="101"/>
      <c r="E192" s="102"/>
      <c r="F192" s="101"/>
      <c r="G192" s="102" t="str">
        <f t="shared" si="11"/>
        <v/>
      </c>
      <c r="H192" s="101">
        <f t="shared" si="12"/>
        <v>0</v>
      </c>
      <c r="I192" s="101"/>
      <c r="J192" s="101"/>
      <c r="K192" s="101"/>
      <c r="L192" s="46"/>
    </row>
    <row r="193" spans="1:12" x14ac:dyDescent="0.25">
      <c r="A193" s="2">
        <v>190</v>
      </c>
      <c r="B193" s="101"/>
      <c r="C193" s="101"/>
      <c r="D193" s="101"/>
      <c r="E193" s="102"/>
      <c r="F193" s="101"/>
      <c r="G193" s="102" t="str">
        <f t="shared" si="11"/>
        <v/>
      </c>
      <c r="H193" s="101">
        <f t="shared" si="12"/>
        <v>0</v>
      </c>
      <c r="I193" s="101"/>
      <c r="J193" s="101"/>
      <c r="K193" s="101"/>
      <c r="L193" s="46"/>
    </row>
    <row r="194" spans="1:12" x14ac:dyDescent="0.25">
      <c r="A194" s="2">
        <v>191</v>
      </c>
      <c r="B194" s="101"/>
      <c r="C194" s="101"/>
      <c r="D194" s="101"/>
      <c r="E194" s="102"/>
      <c r="F194" s="101"/>
      <c r="G194" s="102" t="str">
        <f t="shared" si="11"/>
        <v/>
      </c>
      <c r="H194" s="101">
        <f t="shared" si="12"/>
        <v>0</v>
      </c>
      <c r="I194" s="101"/>
      <c r="J194" s="101"/>
      <c r="K194" s="101"/>
      <c r="L194" s="46"/>
    </row>
    <row r="195" spans="1:12" x14ac:dyDescent="0.25">
      <c r="A195" s="2">
        <v>192</v>
      </c>
      <c r="B195" s="101"/>
      <c r="C195" s="101"/>
      <c r="D195" s="101"/>
      <c r="E195" s="102"/>
      <c r="F195" s="101"/>
      <c r="G195" s="102" t="str">
        <f t="shared" si="11"/>
        <v/>
      </c>
      <c r="H195" s="101">
        <f t="shared" si="12"/>
        <v>0</v>
      </c>
      <c r="I195" s="101"/>
      <c r="J195" s="101"/>
      <c r="K195" s="101"/>
      <c r="L195" s="46"/>
    </row>
    <row r="196" spans="1:12" x14ac:dyDescent="0.25">
      <c r="A196" s="2">
        <v>193</v>
      </c>
      <c r="B196" s="99"/>
      <c r="C196" s="99"/>
      <c r="D196" s="99"/>
      <c r="E196" s="100"/>
      <c r="F196" s="99"/>
      <c r="G196" s="100" t="str">
        <f t="shared" si="11"/>
        <v/>
      </c>
      <c r="H196" s="99">
        <f t="shared" si="12"/>
        <v>0</v>
      </c>
      <c r="I196" s="99"/>
      <c r="J196" s="99"/>
      <c r="K196" s="99"/>
      <c r="L196" s="46"/>
    </row>
    <row r="197" spans="1:12" x14ac:dyDescent="0.25">
      <c r="A197" s="2">
        <v>194</v>
      </c>
      <c r="B197" s="99"/>
      <c r="C197" s="99"/>
      <c r="D197" s="99"/>
      <c r="E197" s="100"/>
      <c r="F197" s="99"/>
      <c r="G197" s="100" t="str">
        <f t="shared" si="11"/>
        <v/>
      </c>
      <c r="H197" s="99">
        <f t="shared" si="12"/>
        <v>0</v>
      </c>
      <c r="I197" s="99"/>
      <c r="J197" s="99"/>
      <c r="K197" s="99"/>
      <c r="L197" s="46"/>
    </row>
    <row r="198" spans="1:12" x14ac:dyDescent="0.25">
      <c r="A198" s="2">
        <v>195</v>
      </c>
      <c r="B198" s="99"/>
      <c r="C198" s="99"/>
      <c r="D198" s="99"/>
      <c r="E198" s="100"/>
      <c r="F198" s="99"/>
      <c r="G198" s="100" t="str">
        <f t="shared" si="11"/>
        <v/>
      </c>
      <c r="H198" s="99">
        <f t="shared" si="12"/>
        <v>0</v>
      </c>
      <c r="I198" s="99"/>
      <c r="J198" s="99"/>
      <c r="K198" s="99"/>
      <c r="L198" s="46"/>
    </row>
    <row r="199" spans="1:12" x14ac:dyDescent="0.25">
      <c r="A199" s="2">
        <v>196</v>
      </c>
      <c r="B199" s="99"/>
      <c r="C199" s="99"/>
      <c r="D199" s="99"/>
      <c r="E199" s="100"/>
      <c r="F199" s="99"/>
      <c r="G199" s="100" t="str">
        <f t="shared" si="11"/>
        <v/>
      </c>
      <c r="H199" s="99">
        <f t="shared" si="12"/>
        <v>0</v>
      </c>
      <c r="I199" s="99"/>
      <c r="J199" s="99"/>
      <c r="K199" s="99"/>
      <c r="L199" s="46"/>
    </row>
    <row r="200" spans="1:12" x14ac:dyDescent="0.25">
      <c r="A200" s="2">
        <v>197</v>
      </c>
      <c r="B200" s="101"/>
      <c r="C200" s="101"/>
      <c r="D200" s="101"/>
      <c r="E200" s="102"/>
      <c r="F200" s="101"/>
      <c r="G200" s="102" t="str">
        <f t="shared" si="11"/>
        <v/>
      </c>
      <c r="H200" s="101">
        <f t="shared" si="12"/>
        <v>0</v>
      </c>
      <c r="I200" s="101"/>
      <c r="J200" s="101"/>
      <c r="K200" s="101"/>
      <c r="L200" s="46"/>
    </row>
    <row r="201" spans="1:12" x14ac:dyDescent="0.25">
      <c r="A201" s="2">
        <v>198</v>
      </c>
      <c r="B201" s="101"/>
      <c r="C201" s="101"/>
      <c r="D201" s="101"/>
      <c r="E201" s="102"/>
      <c r="F201" s="101"/>
      <c r="G201" s="102" t="str">
        <f t="shared" si="11"/>
        <v/>
      </c>
      <c r="H201" s="101">
        <f t="shared" si="12"/>
        <v>0</v>
      </c>
      <c r="I201" s="101"/>
      <c r="J201" s="101"/>
      <c r="K201" s="101"/>
      <c r="L201" s="46"/>
    </row>
    <row r="202" spans="1:12" x14ac:dyDescent="0.25">
      <c r="A202" s="2">
        <v>199</v>
      </c>
      <c r="B202" s="101"/>
      <c r="C202" s="101"/>
      <c r="D202" s="101"/>
      <c r="E202" s="102"/>
      <c r="F202" s="101"/>
      <c r="G202" s="102" t="str">
        <f t="shared" si="11"/>
        <v/>
      </c>
      <c r="H202" s="101">
        <f t="shared" si="12"/>
        <v>0</v>
      </c>
      <c r="I202" s="101"/>
      <c r="J202" s="101"/>
      <c r="K202" s="101"/>
      <c r="L202" s="46"/>
    </row>
    <row r="203" spans="1:12" x14ac:dyDescent="0.25">
      <c r="A203" s="2">
        <v>200</v>
      </c>
      <c r="B203" s="101"/>
      <c r="C203" s="101"/>
      <c r="D203" s="101"/>
      <c r="E203" s="102"/>
      <c r="F203" s="101"/>
      <c r="G203" s="102" t="str">
        <f t="shared" si="11"/>
        <v/>
      </c>
      <c r="H203" s="101">
        <f t="shared" si="12"/>
        <v>0</v>
      </c>
      <c r="I203" s="101"/>
      <c r="J203" s="101"/>
      <c r="K203" s="101"/>
      <c r="L203" s="46"/>
    </row>
    <row r="204" spans="1:12" x14ac:dyDescent="0.25">
      <c r="A204" s="2">
        <v>201</v>
      </c>
      <c r="B204" s="99"/>
      <c r="C204" s="99"/>
      <c r="D204" s="99"/>
      <c r="E204" s="100"/>
      <c r="F204" s="99"/>
      <c r="G204" s="100" t="str">
        <f t="shared" si="11"/>
        <v/>
      </c>
      <c r="H204" s="99">
        <f t="shared" si="12"/>
        <v>0</v>
      </c>
      <c r="I204" s="99"/>
      <c r="J204" s="99"/>
      <c r="K204" s="99"/>
      <c r="L204" s="46"/>
    </row>
    <row r="205" spans="1:12" x14ac:dyDescent="0.25">
      <c r="A205" s="2">
        <v>202</v>
      </c>
      <c r="B205" s="99"/>
      <c r="C205" s="99"/>
      <c r="D205" s="99"/>
      <c r="E205" s="100"/>
      <c r="F205" s="99"/>
      <c r="G205" s="100" t="str">
        <f t="shared" si="11"/>
        <v/>
      </c>
      <c r="H205" s="99">
        <f t="shared" si="12"/>
        <v>0</v>
      </c>
      <c r="I205" s="99"/>
      <c r="J205" s="99"/>
      <c r="K205" s="99"/>
      <c r="L205" s="46"/>
    </row>
    <row r="206" spans="1:12" x14ac:dyDescent="0.25">
      <c r="A206" s="2">
        <v>203</v>
      </c>
      <c r="B206" s="99"/>
      <c r="C206" s="99"/>
      <c r="D206" s="99"/>
      <c r="E206" s="100"/>
      <c r="F206" s="99"/>
      <c r="G206" s="100" t="str">
        <f t="shared" si="11"/>
        <v/>
      </c>
      <c r="H206" s="99">
        <f t="shared" ref="H206:H269" si="13">I206/8</f>
        <v>0</v>
      </c>
      <c r="I206" s="99"/>
      <c r="J206" s="99"/>
      <c r="K206" s="99"/>
      <c r="L206" s="46"/>
    </row>
    <row r="207" spans="1:12" x14ac:dyDescent="0.25">
      <c r="A207" s="2">
        <v>204</v>
      </c>
      <c r="B207" s="99"/>
      <c r="C207" s="99"/>
      <c r="D207" s="99"/>
      <c r="E207" s="100"/>
      <c r="F207" s="99"/>
      <c r="G207" s="100" t="str">
        <f t="shared" si="11"/>
        <v/>
      </c>
      <c r="H207" s="99">
        <f t="shared" si="13"/>
        <v>0</v>
      </c>
      <c r="I207" s="99"/>
      <c r="J207" s="99"/>
      <c r="K207" s="99"/>
      <c r="L207" s="46"/>
    </row>
    <row r="208" spans="1:12" x14ac:dyDescent="0.25">
      <c r="A208" s="2">
        <v>205</v>
      </c>
      <c r="B208" s="101"/>
      <c r="C208" s="101"/>
      <c r="D208" s="101"/>
      <c r="E208" s="102"/>
      <c r="F208" s="101"/>
      <c r="G208" s="102" t="str">
        <f t="shared" si="11"/>
        <v/>
      </c>
      <c r="H208" s="101">
        <f t="shared" si="13"/>
        <v>0</v>
      </c>
      <c r="I208" s="101"/>
      <c r="J208" s="101"/>
      <c r="K208" s="101"/>
      <c r="L208" s="46"/>
    </row>
    <row r="209" spans="1:12" x14ac:dyDescent="0.25">
      <c r="A209" s="2">
        <v>206</v>
      </c>
      <c r="B209" s="101"/>
      <c r="C209" s="101"/>
      <c r="D209" s="101"/>
      <c r="E209" s="102"/>
      <c r="F209" s="101"/>
      <c r="G209" s="102" t="str">
        <f t="shared" si="11"/>
        <v/>
      </c>
      <c r="H209" s="101">
        <f t="shared" si="13"/>
        <v>0</v>
      </c>
      <c r="I209" s="101"/>
      <c r="J209" s="101"/>
      <c r="K209" s="101"/>
      <c r="L209" s="46"/>
    </row>
    <row r="210" spans="1:12" x14ac:dyDescent="0.25">
      <c r="A210" s="2">
        <v>207</v>
      </c>
      <c r="B210" s="101"/>
      <c r="C210" s="101"/>
      <c r="D210" s="101"/>
      <c r="E210" s="102"/>
      <c r="F210" s="101"/>
      <c r="G210" s="102" t="str">
        <f t="shared" si="11"/>
        <v/>
      </c>
      <c r="H210" s="101">
        <f t="shared" si="13"/>
        <v>0</v>
      </c>
      <c r="I210" s="101"/>
      <c r="J210" s="101"/>
      <c r="K210" s="101"/>
      <c r="L210" s="46"/>
    </row>
    <row r="211" spans="1:12" x14ac:dyDescent="0.25">
      <c r="A211" s="2">
        <v>208</v>
      </c>
      <c r="B211" s="101"/>
      <c r="C211" s="101"/>
      <c r="D211" s="101"/>
      <c r="E211" s="102"/>
      <c r="F211" s="101"/>
      <c r="G211" s="102" t="str">
        <f t="shared" si="11"/>
        <v/>
      </c>
      <c r="H211" s="101">
        <f t="shared" si="13"/>
        <v>0</v>
      </c>
      <c r="I211" s="101"/>
      <c r="J211" s="101"/>
      <c r="K211" s="101"/>
      <c r="L211" s="46"/>
    </row>
    <row r="212" spans="1:12" x14ac:dyDescent="0.25">
      <c r="A212" s="2">
        <v>209</v>
      </c>
      <c r="B212" s="99"/>
      <c r="C212" s="99"/>
      <c r="D212" s="99"/>
      <c r="E212" s="100"/>
      <c r="F212" s="99"/>
      <c r="G212" s="100" t="str">
        <f t="shared" si="11"/>
        <v/>
      </c>
      <c r="H212" s="99">
        <f t="shared" si="13"/>
        <v>0</v>
      </c>
      <c r="I212" s="99"/>
      <c r="J212" s="99"/>
      <c r="K212" s="99"/>
      <c r="L212" s="46"/>
    </row>
    <row r="213" spans="1:12" x14ac:dyDescent="0.25">
      <c r="A213" s="2">
        <v>210</v>
      </c>
      <c r="B213" s="99"/>
      <c r="C213" s="99"/>
      <c r="D213" s="99"/>
      <c r="E213" s="100"/>
      <c r="F213" s="99"/>
      <c r="G213" s="100" t="str">
        <f t="shared" si="11"/>
        <v/>
      </c>
      <c r="H213" s="99">
        <f t="shared" si="13"/>
        <v>0</v>
      </c>
      <c r="I213" s="99"/>
      <c r="J213" s="99"/>
      <c r="K213" s="99"/>
      <c r="L213" s="46"/>
    </row>
    <row r="214" spans="1:12" x14ac:dyDescent="0.25">
      <c r="A214" s="2">
        <v>211</v>
      </c>
      <c r="B214" s="99"/>
      <c r="C214" s="99"/>
      <c r="D214" s="99"/>
      <c r="E214" s="100"/>
      <c r="F214" s="99"/>
      <c r="G214" s="100" t="str">
        <f t="shared" si="11"/>
        <v/>
      </c>
      <c r="H214" s="99">
        <f t="shared" si="13"/>
        <v>0</v>
      </c>
      <c r="I214" s="99"/>
      <c r="J214" s="99"/>
      <c r="K214" s="99"/>
      <c r="L214" s="46"/>
    </row>
    <row r="215" spans="1:12" x14ac:dyDescent="0.25">
      <c r="A215" s="2">
        <v>212</v>
      </c>
      <c r="B215" s="99"/>
      <c r="C215" s="99"/>
      <c r="D215" s="99"/>
      <c r="E215" s="100"/>
      <c r="F215" s="99"/>
      <c r="G215" s="100" t="str">
        <f t="shared" si="11"/>
        <v/>
      </c>
      <c r="H215" s="99">
        <f t="shared" si="13"/>
        <v>0</v>
      </c>
      <c r="I215" s="99"/>
      <c r="J215" s="99"/>
      <c r="K215" s="99"/>
      <c r="L215" s="46"/>
    </row>
    <row r="216" spans="1:12" x14ac:dyDescent="0.25">
      <c r="A216" s="2">
        <v>213</v>
      </c>
      <c r="B216" s="101"/>
      <c r="C216" s="101"/>
      <c r="D216" s="101"/>
      <c r="E216" s="102"/>
      <c r="F216" s="101"/>
      <c r="G216" s="102" t="str">
        <f t="shared" si="11"/>
        <v/>
      </c>
      <c r="H216" s="101">
        <f t="shared" si="13"/>
        <v>0</v>
      </c>
      <c r="I216" s="101"/>
      <c r="J216" s="101"/>
      <c r="K216" s="101"/>
      <c r="L216" s="46"/>
    </row>
    <row r="217" spans="1:12" x14ac:dyDescent="0.25">
      <c r="A217" s="2">
        <v>214</v>
      </c>
      <c r="B217" s="101"/>
      <c r="C217" s="101"/>
      <c r="D217" s="101"/>
      <c r="E217" s="102"/>
      <c r="F217" s="101"/>
      <c r="G217" s="102" t="str">
        <f t="shared" si="11"/>
        <v/>
      </c>
      <c r="H217" s="101">
        <f t="shared" si="13"/>
        <v>0</v>
      </c>
      <c r="I217" s="101"/>
      <c r="J217" s="101"/>
      <c r="K217" s="101"/>
      <c r="L217" s="46"/>
    </row>
    <row r="218" spans="1:12" x14ac:dyDescent="0.25">
      <c r="A218" s="2">
        <v>215</v>
      </c>
      <c r="B218" s="101"/>
      <c r="C218" s="101"/>
      <c r="D218" s="101"/>
      <c r="E218" s="102"/>
      <c r="F218" s="101"/>
      <c r="G218" s="102" t="str">
        <f t="shared" si="11"/>
        <v/>
      </c>
      <c r="H218" s="101">
        <f t="shared" si="13"/>
        <v>0</v>
      </c>
      <c r="I218" s="101"/>
      <c r="J218" s="101"/>
      <c r="K218" s="101"/>
      <c r="L218" s="46"/>
    </row>
    <row r="219" spans="1:12" x14ac:dyDescent="0.25">
      <c r="A219" s="2">
        <v>216</v>
      </c>
      <c r="B219" s="101"/>
      <c r="C219" s="101"/>
      <c r="D219" s="101"/>
      <c r="E219" s="102"/>
      <c r="F219" s="101"/>
      <c r="G219" s="102" t="str">
        <f t="shared" si="11"/>
        <v/>
      </c>
      <c r="H219" s="101">
        <f t="shared" si="13"/>
        <v>0</v>
      </c>
      <c r="I219" s="101"/>
      <c r="J219" s="101"/>
      <c r="K219" s="101"/>
      <c r="L219" s="46"/>
    </row>
    <row r="220" spans="1:12" x14ac:dyDescent="0.25">
      <c r="A220" s="2">
        <v>217</v>
      </c>
      <c r="B220" s="99"/>
      <c r="C220" s="99"/>
      <c r="D220" s="99"/>
      <c r="E220" s="100"/>
      <c r="F220" s="99"/>
      <c r="G220" s="100" t="str">
        <f t="shared" si="11"/>
        <v/>
      </c>
      <c r="H220" s="99">
        <f t="shared" si="13"/>
        <v>0</v>
      </c>
      <c r="I220" s="99"/>
      <c r="J220" s="99"/>
      <c r="K220" s="99"/>
      <c r="L220" s="46"/>
    </row>
    <row r="221" spans="1:12" x14ac:dyDescent="0.25">
      <c r="A221" s="2">
        <v>218</v>
      </c>
      <c r="B221" s="99"/>
      <c r="C221" s="99"/>
      <c r="D221" s="99"/>
      <c r="E221" s="100"/>
      <c r="F221" s="99"/>
      <c r="G221" s="100" t="str">
        <f t="shared" si="11"/>
        <v/>
      </c>
      <c r="H221" s="99">
        <f t="shared" si="13"/>
        <v>0</v>
      </c>
      <c r="I221" s="99"/>
      <c r="J221" s="99"/>
      <c r="K221" s="99"/>
      <c r="L221" s="46"/>
    </row>
    <row r="222" spans="1:12" x14ac:dyDescent="0.25">
      <c r="A222" s="2">
        <v>219</v>
      </c>
      <c r="B222" s="99"/>
      <c r="C222" s="99"/>
      <c r="D222" s="99"/>
      <c r="E222" s="100"/>
      <c r="F222" s="99"/>
      <c r="G222" s="100" t="str">
        <f t="shared" si="11"/>
        <v/>
      </c>
      <c r="H222" s="99">
        <f t="shared" si="13"/>
        <v>0</v>
      </c>
      <c r="I222" s="99"/>
      <c r="J222" s="99"/>
      <c r="K222" s="99"/>
      <c r="L222" s="46"/>
    </row>
    <row r="223" spans="1:12" x14ac:dyDescent="0.25">
      <c r="A223" s="2">
        <v>220</v>
      </c>
      <c r="B223" s="99"/>
      <c r="C223" s="99"/>
      <c r="D223" s="99"/>
      <c r="E223" s="100"/>
      <c r="F223" s="99"/>
      <c r="G223" s="100" t="str">
        <f t="shared" si="11"/>
        <v/>
      </c>
      <c r="H223" s="99">
        <f t="shared" si="13"/>
        <v>0</v>
      </c>
      <c r="I223" s="99"/>
      <c r="J223" s="99"/>
      <c r="K223" s="99"/>
      <c r="L223" s="46"/>
    </row>
    <row r="224" spans="1:12" x14ac:dyDescent="0.25">
      <c r="A224" s="2">
        <v>221</v>
      </c>
      <c r="B224" s="101"/>
      <c r="C224" s="101"/>
      <c r="D224" s="101"/>
      <c r="E224" s="102"/>
      <c r="F224" s="101"/>
      <c r="G224" s="102" t="str">
        <f t="shared" si="11"/>
        <v/>
      </c>
      <c r="H224" s="101">
        <f t="shared" si="13"/>
        <v>0</v>
      </c>
      <c r="I224" s="101"/>
      <c r="J224" s="101"/>
      <c r="K224" s="101"/>
      <c r="L224" s="46"/>
    </row>
    <row r="225" spans="1:12" x14ac:dyDescent="0.25">
      <c r="A225" s="2">
        <v>222</v>
      </c>
      <c r="B225" s="101"/>
      <c r="C225" s="101"/>
      <c r="D225" s="101"/>
      <c r="E225" s="102"/>
      <c r="F225" s="101"/>
      <c r="G225" s="102" t="str">
        <f t="shared" si="11"/>
        <v/>
      </c>
      <c r="H225" s="101">
        <f t="shared" si="13"/>
        <v>0</v>
      </c>
      <c r="I225" s="101"/>
      <c r="J225" s="101"/>
      <c r="K225" s="101"/>
      <c r="L225" s="46"/>
    </row>
    <row r="226" spans="1:12" x14ac:dyDescent="0.25">
      <c r="A226" s="2">
        <v>223</v>
      </c>
      <c r="B226" s="101"/>
      <c r="C226" s="101"/>
      <c r="D226" s="101"/>
      <c r="E226" s="102"/>
      <c r="F226" s="101"/>
      <c r="G226" s="102" t="str">
        <f t="shared" si="11"/>
        <v/>
      </c>
      <c r="H226" s="101">
        <f t="shared" si="13"/>
        <v>0</v>
      </c>
      <c r="I226" s="101"/>
      <c r="J226" s="101"/>
      <c r="K226" s="101"/>
      <c r="L226" s="46"/>
    </row>
    <row r="227" spans="1:12" x14ac:dyDescent="0.25">
      <c r="A227" s="2">
        <v>224</v>
      </c>
      <c r="B227" s="101"/>
      <c r="C227" s="101"/>
      <c r="D227" s="101"/>
      <c r="E227" s="102"/>
      <c r="F227" s="101"/>
      <c r="G227" s="102" t="str">
        <f t="shared" si="11"/>
        <v/>
      </c>
      <c r="H227" s="101">
        <f t="shared" si="13"/>
        <v>0</v>
      </c>
      <c r="I227" s="101"/>
      <c r="J227" s="101"/>
      <c r="K227" s="101"/>
      <c r="L227" s="46"/>
    </row>
    <row r="228" spans="1:12" x14ac:dyDescent="0.25">
      <c r="A228" s="2">
        <v>225</v>
      </c>
      <c r="B228" s="99"/>
      <c r="C228" s="99"/>
      <c r="D228" s="99"/>
      <c r="E228" s="100"/>
      <c r="F228" s="99"/>
      <c r="G228" s="100" t="str">
        <f t="shared" si="11"/>
        <v/>
      </c>
      <c r="H228" s="99">
        <f t="shared" si="13"/>
        <v>0</v>
      </c>
      <c r="I228" s="99"/>
      <c r="J228" s="99"/>
      <c r="K228" s="99"/>
      <c r="L228" s="46"/>
    </row>
    <row r="229" spans="1:12" x14ac:dyDescent="0.25">
      <c r="A229" s="2">
        <v>226</v>
      </c>
      <c r="B229" s="99"/>
      <c r="C229" s="99"/>
      <c r="D229" s="99"/>
      <c r="E229" s="100"/>
      <c r="F229" s="99"/>
      <c r="G229" s="100" t="str">
        <f t="shared" si="11"/>
        <v/>
      </c>
      <c r="H229" s="99">
        <f t="shared" si="13"/>
        <v>0</v>
      </c>
      <c r="I229" s="99"/>
      <c r="J229" s="99"/>
      <c r="K229" s="99"/>
      <c r="L229" s="46"/>
    </row>
    <row r="230" spans="1:12" x14ac:dyDescent="0.25">
      <c r="A230" s="2">
        <v>227</v>
      </c>
      <c r="B230" s="99"/>
      <c r="C230" s="99"/>
      <c r="D230" s="99"/>
      <c r="E230" s="100"/>
      <c r="F230" s="99"/>
      <c r="G230" s="100" t="str">
        <f t="shared" si="11"/>
        <v/>
      </c>
      <c r="H230" s="99">
        <f t="shared" si="13"/>
        <v>0</v>
      </c>
      <c r="I230" s="99"/>
      <c r="J230" s="99"/>
      <c r="K230" s="99"/>
      <c r="L230" s="46"/>
    </row>
    <row r="231" spans="1:12" x14ac:dyDescent="0.25">
      <c r="A231" s="2">
        <v>228</v>
      </c>
      <c r="B231" s="99"/>
      <c r="C231" s="99"/>
      <c r="D231" s="99"/>
      <c r="E231" s="100"/>
      <c r="F231" s="99"/>
      <c r="G231" s="100" t="str">
        <f t="shared" si="11"/>
        <v/>
      </c>
      <c r="H231" s="99">
        <f t="shared" si="13"/>
        <v>0</v>
      </c>
      <c r="I231" s="99"/>
      <c r="J231" s="99"/>
      <c r="K231" s="99"/>
      <c r="L231" s="46"/>
    </row>
    <row r="232" spans="1:12" x14ac:dyDescent="0.25">
      <c r="A232" s="2">
        <v>229</v>
      </c>
      <c r="B232" s="101"/>
      <c r="C232" s="101"/>
      <c r="D232" s="101"/>
      <c r="E232" s="102"/>
      <c r="F232" s="101"/>
      <c r="G232" s="102" t="str">
        <f t="shared" si="11"/>
        <v/>
      </c>
      <c r="H232" s="101">
        <f t="shared" si="13"/>
        <v>0</v>
      </c>
      <c r="I232" s="101"/>
      <c r="J232" s="101"/>
      <c r="K232" s="101"/>
      <c r="L232" s="46"/>
    </row>
    <row r="233" spans="1:12" x14ac:dyDescent="0.25">
      <c r="A233" s="2">
        <v>230</v>
      </c>
      <c r="B233" s="101"/>
      <c r="C233" s="101"/>
      <c r="D233" s="101"/>
      <c r="E233" s="102"/>
      <c r="F233" s="101"/>
      <c r="G233" s="102" t="str">
        <f t="shared" ref="G233:G296" si="14">CONCATENATE(B233,C233,D233,E233,F233)</f>
        <v/>
      </c>
      <c r="H233" s="101">
        <f t="shared" si="13"/>
        <v>0</v>
      </c>
      <c r="I233" s="101"/>
      <c r="J233" s="101"/>
      <c r="K233" s="101"/>
      <c r="L233" s="46"/>
    </row>
    <row r="234" spans="1:12" x14ac:dyDescent="0.25">
      <c r="A234" s="2">
        <v>231</v>
      </c>
      <c r="B234" s="101"/>
      <c r="C234" s="101"/>
      <c r="D234" s="101"/>
      <c r="E234" s="102"/>
      <c r="F234" s="101"/>
      <c r="G234" s="102" t="str">
        <f t="shared" si="14"/>
        <v/>
      </c>
      <c r="H234" s="101">
        <f t="shared" si="13"/>
        <v>0</v>
      </c>
      <c r="I234" s="101"/>
      <c r="J234" s="101"/>
      <c r="K234" s="101"/>
      <c r="L234" s="46"/>
    </row>
    <row r="235" spans="1:12" x14ac:dyDescent="0.25">
      <c r="A235" s="2">
        <v>232</v>
      </c>
      <c r="B235" s="101"/>
      <c r="C235" s="101"/>
      <c r="D235" s="101"/>
      <c r="E235" s="102"/>
      <c r="F235" s="101"/>
      <c r="G235" s="102" t="str">
        <f t="shared" si="14"/>
        <v/>
      </c>
      <c r="H235" s="101">
        <f t="shared" si="13"/>
        <v>0</v>
      </c>
      <c r="I235" s="101"/>
      <c r="J235" s="101"/>
      <c r="K235" s="101"/>
      <c r="L235" s="46"/>
    </row>
    <row r="236" spans="1:12" x14ac:dyDescent="0.25">
      <c r="A236" s="2">
        <v>233</v>
      </c>
      <c r="B236" s="99"/>
      <c r="C236" s="99"/>
      <c r="D236" s="99"/>
      <c r="E236" s="100"/>
      <c r="F236" s="99"/>
      <c r="G236" s="100" t="str">
        <f t="shared" si="14"/>
        <v/>
      </c>
      <c r="H236" s="99">
        <f t="shared" si="13"/>
        <v>0</v>
      </c>
      <c r="I236" s="99"/>
      <c r="J236" s="99"/>
      <c r="K236" s="99"/>
      <c r="L236" s="46"/>
    </row>
    <row r="237" spans="1:12" x14ac:dyDescent="0.25">
      <c r="A237" s="2">
        <v>234</v>
      </c>
      <c r="B237" s="99"/>
      <c r="C237" s="99"/>
      <c r="D237" s="99"/>
      <c r="E237" s="100"/>
      <c r="F237" s="99"/>
      <c r="G237" s="100" t="str">
        <f t="shared" si="14"/>
        <v/>
      </c>
      <c r="H237" s="99">
        <f t="shared" si="13"/>
        <v>0</v>
      </c>
      <c r="I237" s="99"/>
      <c r="J237" s="99"/>
      <c r="K237" s="99"/>
      <c r="L237" s="46"/>
    </row>
    <row r="238" spans="1:12" x14ac:dyDescent="0.25">
      <c r="A238" s="2">
        <v>235</v>
      </c>
      <c r="B238" s="99"/>
      <c r="C238" s="99"/>
      <c r="D238" s="99"/>
      <c r="E238" s="100"/>
      <c r="F238" s="99"/>
      <c r="G238" s="100" t="str">
        <f t="shared" si="14"/>
        <v/>
      </c>
      <c r="H238" s="99">
        <f t="shared" si="13"/>
        <v>0</v>
      </c>
      <c r="I238" s="99"/>
      <c r="J238" s="99"/>
      <c r="K238" s="99"/>
      <c r="L238" s="46"/>
    </row>
    <row r="239" spans="1:12" x14ac:dyDescent="0.25">
      <c r="A239" s="2">
        <v>236</v>
      </c>
      <c r="B239" s="99"/>
      <c r="C239" s="99"/>
      <c r="D239" s="99"/>
      <c r="E239" s="100"/>
      <c r="F239" s="99"/>
      <c r="G239" s="100" t="str">
        <f t="shared" si="14"/>
        <v/>
      </c>
      <c r="H239" s="99">
        <f t="shared" si="13"/>
        <v>0</v>
      </c>
      <c r="I239" s="99"/>
      <c r="J239" s="99"/>
      <c r="K239" s="99"/>
      <c r="L239" s="46"/>
    </row>
    <row r="240" spans="1:12" x14ac:dyDescent="0.25">
      <c r="A240" s="2">
        <v>237</v>
      </c>
      <c r="B240" s="101"/>
      <c r="C240" s="101"/>
      <c r="D240" s="101"/>
      <c r="E240" s="102"/>
      <c r="F240" s="101"/>
      <c r="G240" s="102" t="str">
        <f t="shared" si="14"/>
        <v/>
      </c>
      <c r="H240" s="101">
        <f t="shared" si="13"/>
        <v>0</v>
      </c>
      <c r="I240" s="101"/>
      <c r="J240" s="101"/>
      <c r="K240" s="101"/>
      <c r="L240" s="46"/>
    </row>
    <row r="241" spans="1:12" x14ac:dyDescent="0.25">
      <c r="A241" s="2">
        <v>238</v>
      </c>
      <c r="B241" s="101"/>
      <c r="C241" s="101"/>
      <c r="D241" s="101"/>
      <c r="E241" s="102"/>
      <c r="F241" s="101"/>
      <c r="G241" s="102" t="str">
        <f t="shared" si="14"/>
        <v/>
      </c>
      <c r="H241" s="101">
        <f t="shared" si="13"/>
        <v>0</v>
      </c>
      <c r="I241" s="101"/>
      <c r="J241" s="101"/>
      <c r="K241" s="101"/>
      <c r="L241" s="46"/>
    </row>
    <row r="242" spans="1:12" x14ac:dyDescent="0.25">
      <c r="A242" s="2">
        <v>239</v>
      </c>
      <c r="B242" s="101"/>
      <c r="C242" s="101"/>
      <c r="D242" s="101"/>
      <c r="E242" s="102"/>
      <c r="F242" s="101"/>
      <c r="G242" s="102" t="str">
        <f t="shared" si="14"/>
        <v/>
      </c>
      <c r="H242" s="101">
        <f t="shared" si="13"/>
        <v>0</v>
      </c>
      <c r="I242" s="101"/>
      <c r="J242" s="101"/>
      <c r="K242" s="101"/>
      <c r="L242" s="46"/>
    </row>
    <row r="243" spans="1:12" x14ac:dyDescent="0.25">
      <c r="A243" s="2">
        <v>240</v>
      </c>
      <c r="B243" s="101"/>
      <c r="C243" s="101"/>
      <c r="D243" s="101"/>
      <c r="E243" s="102"/>
      <c r="F243" s="101"/>
      <c r="G243" s="102" t="str">
        <f t="shared" si="14"/>
        <v/>
      </c>
      <c r="H243" s="101">
        <f t="shared" si="13"/>
        <v>0</v>
      </c>
      <c r="I243" s="101"/>
      <c r="J243" s="101"/>
      <c r="K243" s="101"/>
      <c r="L243" s="46"/>
    </row>
    <row r="244" spans="1:12" x14ac:dyDescent="0.25">
      <c r="A244" s="2">
        <v>241</v>
      </c>
      <c r="B244" s="87"/>
      <c r="C244" s="87"/>
      <c r="D244" s="87"/>
      <c r="E244" s="82"/>
      <c r="F244" s="87"/>
      <c r="G244" s="82" t="str">
        <f t="shared" si="14"/>
        <v/>
      </c>
      <c r="H244" s="103">
        <f t="shared" si="13"/>
        <v>0</v>
      </c>
      <c r="I244" s="87"/>
      <c r="J244" s="87"/>
      <c r="K244" s="87"/>
      <c r="L244" s="46"/>
    </row>
    <row r="245" spans="1:12" x14ac:dyDescent="0.25">
      <c r="A245" s="2">
        <v>242</v>
      </c>
      <c r="B245" s="87"/>
      <c r="C245" s="87"/>
      <c r="D245" s="87"/>
      <c r="E245" s="82"/>
      <c r="F245" s="87"/>
      <c r="G245" s="82" t="str">
        <f t="shared" si="14"/>
        <v/>
      </c>
      <c r="H245" s="103">
        <f t="shared" si="13"/>
        <v>0</v>
      </c>
      <c r="I245" s="87"/>
      <c r="J245" s="87"/>
      <c r="K245" s="87"/>
      <c r="L245" s="46"/>
    </row>
    <row r="246" spans="1:12" x14ac:dyDescent="0.25">
      <c r="A246" s="2">
        <v>243</v>
      </c>
      <c r="B246" s="87"/>
      <c r="C246" s="87"/>
      <c r="D246" s="87"/>
      <c r="E246" s="82"/>
      <c r="F246" s="87"/>
      <c r="G246" s="82" t="str">
        <f t="shared" si="14"/>
        <v/>
      </c>
      <c r="H246" s="103">
        <f t="shared" si="13"/>
        <v>0</v>
      </c>
      <c r="I246" s="87"/>
      <c r="J246" s="87"/>
      <c r="K246" s="87"/>
      <c r="L246" s="46"/>
    </row>
    <row r="247" spans="1:12" x14ac:dyDescent="0.25">
      <c r="A247" s="2">
        <v>244</v>
      </c>
      <c r="B247" s="87"/>
      <c r="C247" s="87"/>
      <c r="D247" s="87"/>
      <c r="E247" s="82"/>
      <c r="F247" s="87"/>
      <c r="G247" s="82" t="str">
        <f t="shared" si="14"/>
        <v/>
      </c>
      <c r="H247" s="103">
        <f t="shared" si="13"/>
        <v>0</v>
      </c>
      <c r="I247" s="87"/>
      <c r="J247" s="87"/>
      <c r="K247" s="87"/>
      <c r="L247" s="46"/>
    </row>
    <row r="248" spans="1:12" x14ac:dyDescent="0.25">
      <c r="A248" s="2">
        <v>245</v>
      </c>
      <c r="B248" s="87"/>
      <c r="C248" s="87"/>
      <c r="D248" s="87"/>
      <c r="E248" s="82"/>
      <c r="F248" s="87"/>
      <c r="G248" s="82" t="str">
        <f t="shared" si="14"/>
        <v/>
      </c>
      <c r="H248" s="103">
        <f t="shared" si="13"/>
        <v>0</v>
      </c>
      <c r="I248" s="87"/>
      <c r="J248" s="87"/>
      <c r="K248" s="87"/>
      <c r="L248" s="46"/>
    </row>
    <row r="249" spans="1:12" x14ac:dyDescent="0.25">
      <c r="A249" s="2">
        <v>246</v>
      </c>
      <c r="B249" s="87"/>
      <c r="C249" s="87"/>
      <c r="D249" s="87"/>
      <c r="E249" s="82"/>
      <c r="F249" s="87"/>
      <c r="G249" s="82" t="str">
        <f t="shared" si="14"/>
        <v/>
      </c>
      <c r="H249" s="103">
        <f t="shared" si="13"/>
        <v>0</v>
      </c>
      <c r="I249" s="87"/>
      <c r="J249" s="87"/>
      <c r="K249" s="87"/>
      <c r="L249" s="46"/>
    </row>
    <row r="250" spans="1:12" x14ac:dyDescent="0.25">
      <c r="A250" s="2">
        <v>247</v>
      </c>
      <c r="B250" s="87"/>
      <c r="C250" s="87"/>
      <c r="D250" s="87"/>
      <c r="E250" s="82"/>
      <c r="F250" s="87"/>
      <c r="G250" s="82" t="str">
        <f t="shared" si="14"/>
        <v/>
      </c>
      <c r="H250" s="103">
        <f t="shared" si="13"/>
        <v>0</v>
      </c>
      <c r="I250" s="87"/>
      <c r="J250" s="87"/>
      <c r="K250" s="87"/>
      <c r="L250" s="46"/>
    </row>
    <row r="251" spans="1:12" x14ac:dyDescent="0.25">
      <c r="A251" s="2">
        <v>248</v>
      </c>
      <c r="B251" s="87"/>
      <c r="C251" s="87"/>
      <c r="D251" s="87"/>
      <c r="E251" s="82"/>
      <c r="F251" s="87"/>
      <c r="G251" s="82" t="str">
        <f t="shared" si="14"/>
        <v/>
      </c>
      <c r="H251" s="103">
        <f t="shared" si="13"/>
        <v>0</v>
      </c>
      <c r="I251" s="87"/>
      <c r="J251" s="87"/>
      <c r="K251" s="87"/>
      <c r="L251" s="46"/>
    </row>
    <row r="252" spans="1:12" x14ac:dyDescent="0.25">
      <c r="A252" s="2">
        <v>249</v>
      </c>
      <c r="B252" s="87"/>
      <c r="C252" s="87"/>
      <c r="D252" s="87"/>
      <c r="E252" s="82"/>
      <c r="F252" s="87"/>
      <c r="G252" s="82" t="str">
        <f t="shared" si="14"/>
        <v/>
      </c>
      <c r="H252" s="103">
        <f t="shared" si="13"/>
        <v>0</v>
      </c>
      <c r="I252" s="87"/>
      <c r="J252" s="87"/>
      <c r="K252" s="87"/>
      <c r="L252" s="46"/>
    </row>
    <row r="253" spans="1:12" x14ac:dyDescent="0.25">
      <c r="A253" s="2">
        <v>250</v>
      </c>
      <c r="B253" s="87"/>
      <c r="C253" s="87"/>
      <c r="D253" s="87"/>
      <c r="E253" s="82"/>
      <c r="F253" s="87"/>
      <c r="G253" s="82" t="str">
        <f t="shared" si="14"/>
        <v/>
      </c>
      <c r="H253" s="103">
        <f t="shared" si="13"/>
        <v>0</v>
      </c>
      <c r="I253" s="87"/>
      <c r="J253" s="87"/>
      <c r="K253" s="87"/>
      <c r="L253" s="46"/>
    </row>
    <row r="254" spans="1:12" x14ac:dyDescent="0.25">
      <c r="A254" s="2">
        <v>251</v>
      </c>
      <c r="B254" s="87"/>
      <c r="C254" s="87"/>
      <c r="D254" s="87"/>
      <c r="E254" s="82"/>
      <c r="F254" s="87"/>
      <c r="G254" s="82" t="str">
        <f t="shared" si="14"/>
        <v/>
      </c>
      <c r="H254" s="103">
        <f t="shared" si="13"/>
        <v>0</v>
      </c>
      <c r="I254" s="87"/>
      <c r="J254" s="87"/>
      <c r="K254" s="87"/>
      <c r="L254" s="46"/>
    </row>
    <row r="255" spans="1:12" x14ac:dyDescent="0.25">
      <c r="A255" s="2">
        <v>252</v>
      </c>
      <c r="B255" s="87"/>
      <c r="C255" s="87"/>
      <c r="D255" s="87"/>
      <c r="E255" s="82"/>
      <c r="F255" s="87"/>
      <c r="G255" s="82" t="str">
        <f t="shared" si="14"/>
        <v/>
      </c>
      <c r="H255" s="103">
        <f t="shared" si="13"/>
        <v>0</v>
      </c>
      <c r="I255" s="87"/>
      <c r="J255" s="87"/>
      <c r="K255" s="87"/>
      <c r="L255" s="46"/>
    </row>
    <row r="256" spans="1:12" x14ac:dyDescent="0.25">
      <c r="A256" s="2">
        <v>253</v>
      </c>
      <c r="B256" s="87"/>
      <c r="C256" s="87"/>
      <c r="D256" s="87"/>
      <c r="E256" s="82"/>
      <c r="F256" s="87"/>
      <c r="G256" s="82" t="str">
        <f t="shared" si="14"/>
        <v/>
      </c>
      <c r="H256" s="103">
        <f t="shared" si="13"/>
        <v>0</v>
      </c>
      <c r="I256" s="87"/>
      <c r="J256" s="87"/>
      <c r="K256" s="87"/>
      <c r="L256" s="46"/>
    </row>
    <row r="257" spans="1:12" x14ac:dyDescent="0.25">
      <c r="A257" s="2">
        <v>254</v>
      </c>
      <c r="B257" s="87"/>
      <c r="C257" s="87"/>
      <c r="D257" s="87"/>
      <c r="E257" s="82"/>
      <c r="F257" s="87"/>
      <c r="G257" s="82" t="str">
        <f t="shared" si="14"/>
        <v/>
      </c>
      <c r="H257" s="103">
        <f t="shared" si="13"/>
        <v>0</v>
      </c>
      <c r="I257" s="87"/>
      <c r="J257" s="87"/>
      <c r="K257" s="87"/>
      <c r="L257" s="46"/>
    </row>
    <row r="258" spans="1:12" x14ac:dyDescent="0.25">
      <c r="A258" s="2">
        <v>255</v>
      </c>
      <c r="B258" s="87"/>
      <c r="C258" s="87"/>
      <c r="D258" s="87"/>
      <c r="E258" s="82"/>
      <c r="F258" s="87"/>
      <c r="G258" s="82" t="str">
        <f t="shared" si="14"/>
        <v/>
      </c>
      <c r="H258" s="103">
        <f t="shared" si="13"/>
        <v>0</v>
      </c>
      <c r="I258" s="87"/>
      <c r="J258" s="87"/>
      <c r="K258" s="87"/>
      <c r="L258" s="46"/>
    </row>
    <row r="259" spans="1:12" x14ac:dyDescent="0.25">
      <c r="A259" s="2">
        <v>256</v>
      </c>
      <c r="B259" s="87"/>
      <c r="C259" s="87"/>
      <c r="D259" s="87"/>
      <c r="E259" s="82"/>
      <c r="F259" s="87"/>
      <c r="G259" s="82" t="str">
        <f t="shared" si="14"/>
        <v/>
      </c>
      <c r="H259" s="103">
        <f t="shared" si="13"/>
        <v>0</v>
      </c>
      <c r="I259" s="87"/>
      <c r="J259" s="87"/>
      <c r="K259" s="87"/>
      <c r="L259" s="46"/>
    </row>
    <row r="260" spans="1:12" x14ac:dyDescent="0.25">
      <c r="A260" s="2">
        <v>257</v>
      </c>
      <c r="B260" s="87"/>
      <c r="C260" s="87"/>
      <c r="D260" s="87"/>
      <c r="E260" s="82"/>
      <c r="F260" s="87"/>
      <c r="G260" s="82" t="str">
        <f t="shared" si="14"/>
        <v/>
      </c>
      <c r="H260" s="103">
        <f t="shared" si="13"/>
        <v>0</v>
      </c>
      <c r="I260" s="87"/>
      <c r="J260" s="87"/>
      <c r="K260" s="87"/>
      <c r="L260" s="46"/>
    </row>
    <row r="261" spans="1:12" x14ac:dyDescent="0.25">
      <c r="A261" s="2">
        <v>258</v>
      </c>
      <c r="B261" s="87"/>
      <c r="C261" s="87"/>
      <c r="D261" s="87"/>
      <c r="E261" s="82"/>
      <c r="F261" s="87"/>
      <c r="G261" s="82" t="str">
        <f t="shared" si="14"/>
        <v/>
      </c>
      <c r="H261" s="103">
        <f t="shared" si="13"/>
        <v>0</v>
      </c>
      <c r="I261" s="87"/>
      <c r="J261" s="87"/>
      <c r="K261" s="87"/>
      <c r="L261" s="46"/>
    </row>
    <row r="262" spans="1:12" x14ac:dyDescent="0.25">
      <c r="A262" s="2">
        <v>259</v>
      </c>
      <c r="B262" s="87"/>
      <c r="C262" s="87"/>
      <c r="D262" s="87"/>
      <c r="E262" s="82"/>
      <c r="F262" s="87"/>
      <c r="G262" s="82" t="str">
        <f t="shared" si="14"/>
        <v/>
      </c>
      <c r="H262" s="103">
        <f t="shared" si="13"/>
        <v>0</v>
      </c>
      <c r="I262" s="87"/>
      <c r="J262" s="87"/>
      <c r="K262" s="87"/>
      <c r="L262" s="46"/>
    </row>
    <row r="263" spans="1:12" x14ac:dyDescent="0.25">
      <c r="A263" s="2">
        <v>260</v>
      </c>
      <c r="B263" s="87"/>
      <c r="C263" s="87"/>
      <c r="D263" s="87"/>
      <c r="E263" s="82"/>
      <c r="F263" s="87"/>
      <c r="G263" s="82" t="str">
        <f t="shared" si="14"/>
        <v/>
      </c>
      <c r="H263" s="103">
        <f t="shared" si="13"/>
        <v>0</v>
      </c>
      <c r="I263" s="87"/>
      <c r="J263" s="87"/>
      <c r="K263" s="87"/>
      <c r="L263" s="46"/>
    </row>
    <row r="264" spans="1:12" x14ac:dyDescent="0.25">
      <c r="A264" s="2">
        <v>261</v>
      </c>
      <c r="B264" s="87"/>
      <c r="C264" s="87"/>
      <c r="D264" s="87"/>
      <c r="E264" s="82"/>
      <c r="F264" s="87"/>
      <c r="G264" s="82" t="str">
        <f t="shared" si="14"/>
        <v/>
      </c>
      <c r="H264" s="103">
        <f t="shared" si="13"/>
        <v>0</v>
      </c>
      <c r="I264" s="87"/>
      <c r="J264" s="87"/>
      <c r="K264" s="87"/>
      <c r="L264" s="46"/>
    </row>
    <row r="265" spans="1:12" x14ac:dyDescent="0.25">
      <c r="A265" s="2">
        <v>262</v>
      </c>
      <c r="B265" s="87"/>
      <c r="C265" s="87"/>
      <c r="D265" s="87"/>
      <c r="E265" s="82"/>
      <c r="F265" s="87"/>
      <c r="G265" s="82" t="str">
        <f t="shared" si="14"/>
        <v/>
      </c>
      <c r="H265" s="103">
        <f t="shared" si="13"/>
        <v>0</v>
      </c>
      <c r="I265" s="87"/>
      <c r="J265" s="87"/>
      <c r="K265" s="87"/>
      <c r="L265" s="46"/>
    </row>
    <row r="266" spans="1:12" x14ac:dyDescent="0.25">
      <c r="A266" s="2">
        <v>263</v>
      </c>
      <c r="B266" s="87"/>
      <c r="C266" s="87"/>
      <c r="D266" s="87"/>
      <c r="E266" s="82"/>
      <c r="F266" s="87"/>
      <c r="G266" s="82" t="str">
        <f t="shared" si="14"/>
        <v/>
      </c>
      <c r="H266" s="103">
        <f t="shared" si="13"/>
        <v>0</v>
      </c>
      <c r="I266" s="87"/>
      <c r="J266" s="87"/>
      <c r="K266" s="87"/>
      <c r="L266" s="46"/>
    </row>
    <row r="267" spans="1:12" x14ac:dyDescent="0.25">
      <c r="A267" s="2">
        <v>264</v>
      </c>
      <c r="B267" s="87"/>
      <c r="C267" s="87"/>
      <c r="D267" s="87"/>
      <c r="E267" s="82"/>
      <c r="F267" s="87"/>
      <c r="G267" s="82" t="str">
        <f t="shared" si="14"/>
        <v/>
      </c>
      <c r="H267" s="103">
        <f t="shared" si="13"/>
        <v>0</v>
      </c>
      <c r="I267" s="87"/>
      <c r="J267" s="87"/>
      <c r="K267" s="87"/>
      <c r="L267" s="46"/>
    </row>
    <row r="268" spans="1:12" x14ac:dyDescent="0.25">
      <c r="A268" s="2">
        <v>265</v>
      </c>
      <c r="B268" s="87"/>
      <c r="C268" s="87"/>
      <c r="D268" s="87"/>
      <c r="E268" s="82"/>
      <c r="F268" s="87"/>
      <c r="G268" s="82" t="str">
        <f t="shared" si="14"/>
        <v/>
      </c>
      <c r="H268" s="103">
        <f t="shared" si="13"/>
        <v>0</v>
      </c>
      <c r="I268" s="87"/>
      <c r="J268" s="87"/>
      <c r="K268" s="87"/>
      <c r="L268" s="46"/>
    </row>
    <row r="269" spans="1:12" x14ac:dyDescent="0.25">
      <c r="A269" s="2">
        <v>266</v>
      </c>
      <c r="B269" s="87"/>
      <c r="C269" s="87"/>
      <c r="D269" s="87"/>
      <c r="E269" s="82"/>
      <c r="F269" s="87"/>
      <c r="G269" s="82" t="str">
        <f t="shared" si="14"/>
        <v/>
      </c>
      <c r="H269" s="103">
        <f t="shared" si="13"/>
        <v>0</v>
      </c>
      <c r="I269" s="87"/>
      <c r="J269" s="87"/>
      <c r="K269" s="87"/>
      <c r="L269" s="46"/>
    </row>
    <row r="270" spans="1:12" x14ac:dyDescent="0.25">
      <c r="A270" s="2">
        <v>267</v>
      </c>
      <c r="B270" s="87"/>
      <c r="C270" s="87"/>
      <c r="D270" s="87"/>
      <c r="E270" s="82"/>
      <c r="F270" s="87"/>
      <c r="G270" s="82" t="str">
        <f t="shared" si="14"/>
        <v/>
      </c>
      <c r="H270" s="103">
        <f t="shared" ref="H270:H333" si="15">I270/8</f>
        <v>0</v>
      </c>
      <c r="I270" s="87"/>
      <c r="J270" s="87"/>
      <c r="K270" s="87"/>
      <c r="L270" s="46"/>
    </row>
    <row r="271" spans="1:12" x14ac:dyDescent="0.25">
      <c r="A271" s="2">
        <v>268</v>
      </c>
      <c r="B271" s="87"/>
      <c r="C271" s="87"/>
      <c r="D271" s="87"/>
      <c r="E271" s="82"/>
      <c r="F271" s="87"/>
      <c r="G271" s="82" t="str">
        <f t="shared" si="14"/>
        <v/>
      </c>
      <c r="H271" s="103">
        <f t="shared" si="15"/>
        <v>0</v>
      </c>
      <c r="I271" s="87"/>
      <c r="J271" s="87"/>
      <c r="K271" s="87"/>
      <c r="L271" s="46"/>
    </row>
    <row r="272" spans="1:12" x14ac:dyDescent="0.25">
      <c r="A272" s="2">
        <v>269</v>
      </c>
      <c r="B272" s="87"/>
      <c r="C272" s="87"/>
      <c r="D272" s="87"/>
      <c r="E272" s="82"/>
      <c r="F272" s="87"/>
      <c r="G272" s="82" t="str">
        <f t="shared" si="14"/>
        <v/>
      </c>
      <c r="H272" s="103">
        <f t="shared" si="15"/>
        <v>0</v>
      </c>
      <c r="I272" s="87"/>
      <c r="J272" s="87"/>
      <c r="K272" s="87"/>
      <c r="L272" s="46"/>
    </row>
    <row r="273" spans="1:12" x14ac:dyDescent="0.25">
      <c r="A273" s="2">
        <v>270</v>
      </c>
      <c r="B273" s="87"/>
      <c r="C273" s="87"/>
      <c r="D273" s="87"/>
      <c r="E273" s="82"/>
      <c r="F273" s="87"/>
      <c r="G273" s="82" t="str">
        <f t="shared" si="14"/>
        <v/>
      </c>
      <c r="H273" s="103">
        <f t="shared" si="15"/>
        <v>0</v>
      </c>
      <c r="I273" s="87"/>
      <c r="J273" s="87"/>
      <c r="K273" s="87"/>
      <c r="L273" s="46"/>
    </row>
    <row r="274" spans="1:12" x14ac:dyDescent="0.25">
      <c r="A274" s="2">
        <v>271</v>
      </c>
      <c r="B274" s="87"/>
      <c r="C274" s="87"/>
      <c r="D274" s="87"/>
      <c r="E274" s="82"/>
      <c r="F274" s="87"/>
      <c r="G274" s="82" t="str">
        <f t="shared" si="14"/>
        <v/>
      </c>
      <c r="H274" s="103">
        <f t="shared" si="15"/>
        <v>0</v>
      </c>
      <c r="I274" s="87"/>
      <c r="J274" s="87"/>
      <c r="K274" s="87"/>
      <c r="L274" s="46"/>
    </row>
    <row r="275" spans="1:12" x14ac:dyDescent="0.25">
      <c r="A275" s="2">
        <v>272</v>
      </c>
      <c r="B275" s="87"/>
      <c r="C275" s="87"/>
      <c r="D275" s="87"/>
      <c r="E275" s="82"/>
      <c r="F275" s="87"/>
      <c r="G275" s="82" t="str">
        <f t="shared" si="14"/>
        <v/>
      </c>
      <c r="H275" s="103">
        <f t="shared" si="15"/>
        <v>0</v>
      </c>
      <c r="I275" s="87"/>
      <c r="J275" s="87"/>
      <c r="K275" s="87"/>
      <c r="L275" s="46"/>
    </row>
    <row r="276" spans="1:12" x14ac:dyDescent="0.25">
      <c r="A276" s="2">
        <v>273</v>
      </c>
      <c r="B276" s="87"/>
      <c r="C276" s="87"/>
      <c r="D276" s="87"/>
      <c r="E276" s="82"/>
      <c r="F276" s="87"/>
      <c r="G276" s="82" t="str">
        <f t="shared" si="14"/>
        <v/>
      </c>
      <c r="H276" s="103">
        <f t="shared" si="15"/>
        <v>0</v>
      </c>
      <c r="I276" s="87"/>
      <c r="J276" s="87"/>
      <c r="K276" s="87"/>
      <c r="L276" s="46"/>
    </row>
    <row r="277" spans="1:12" x14ac:dyDescent="0.25">
      <c r="A277" s="2">
        <v>274</v>
      </c>
      <c r="B277" s="87"/>
      <c r="C277" s="87"/>
      <c r="D277" s="87"/>
      <c r="E277" s="82"/>
      <c r="F277" s="87"/>
      <c r="G277" s="82" t="str">
        <f t="shared" si="14"/>
        <v/>
      </c>
      <c r="H277" s="103">
        <f t="shared" si="15"/>
        <v>0</v>
      </c>
      <c r="I277" s="87"/>
      <c r="J277" s="87"/>
      <c r="K277" s="87"/>
      <c r="L277" s="46"/>
    </row>
    <row r="278" spans="1:12" x14ac:dyDescent="0.25">
      <c r="A278" s="2">
        <v>275</v>
      </c>
      <c r="B278" s="87"/>
      <c r="C278" s="87"/>
      <c r="D278" s="87"/>
      <c r="E278" s="82"/>
      <c r="F278" s="87"/>
      <c r="G278" s="82" t="str">
        <f t="shared" si="14"/>
        <v/>
      </c>
      <c r="H278" s="103">
        <f t="shared" si="15"/>
        <v>0</v>
      </c>
      <c r="I278" s="87"/>
      <c r="J278" s="87"/>
      <c r="K278" s="87"/>
      <c r="L278" s="46"/>
    </row>
    <row r="279" spans="1:12" x14ac:dyDescent="0.25">
      <c r="A279" s="2">
        <v>276</v>
      </c>
      <c r="B279" s="87"/>
      <c r="C279" s="87"/>
      <c r="D279" s="87"/>
      <c r="E279" s="82"/>
      <c r="F279" s="87"/>
      <c r="G279" s="82" t="str">
        <f t="shared" si="14"/>
        <v/>
      </c>
      <c r="H279" s="103">
        <f t="shared" si="15"/>
        <v>0</v>
      </c>
      <c r="I279" s="87"/>
      <c r="J279" s="87"/>
      <c r="K279" s="87"/>
      <c r="L279" s="46"/>
    </row>
    <row r="280" spans="1:12" x14ac:dyDescent="0.25">
      <c r="A280" s="2">
        <v>277</v>
      </c>
      <c r="B280" s="87"/>
      <c r="C280" s="87"/>
      <c r="D280" s="87"/>
      <c r="E280" s="82"/>
      <c r="F280" s="87"/>
      <c r="G280" s="82" t="str">
        <f t="shared" si="14"/>
        <v/>
      </c>
      <c r="H280" s="103">
        <f t="shared" si="15"/>
        <v>0</v>
      </c>
      <c r="I280" s="87"/>
      <c r="J280" s="87"/>
      <c r="K280" s="87"/>
      <c r="L280" s="46"/>
    </row>
    <row r="281" spans="1:12" x14ac:dyDescent="0.25">
      <c r="A281" s="2">
        <v>278</v>
      </c>
      <c r="B281" s="87"/>
      <c r="C281" s="87"/>
      <c r="D281" s="87"/>
      <c r="E281" s="82"/>
      <c r="F281" s="87"/>
      <c r="G281" s="82" t="str">
        <f t="shared" si="14"/>
        <v/>
      </c>
      <c r="H281" s="103">
        <f t="shared" si="15"/>
        <v>0</v>
      </c>
      <c r="I281" s="87"/>
      <c r="J281" s="87"/>
      <c r="K281" s="87"/>
      <c r="L281" s="46"/>
    </row>
    <row r="282" spans="1:12" x14ac:dyDescent="0.25">
      <c r="A282" s="2">
        <v>279</v>
      </c>
      <c r="B282" s="87"/>
      <c r="C282" s="87"/>
      <c r="D282" s="87"/>
      <c r="E282" s="82"/>
      <c r="F282" s="87"/>
      <c r="G282" s="82" t="str">
        <f t="shared" si="14"/>
        <v/>
      </c>
      <c r="H282" s="103">
        <f t="shared" si="15"/>
        <v>0</v>
      </c>
      <c r="I282" s="87"/>
      <c r="J282" s="87"/>
      <c r="K282" s="87"/>
      <c r="L282" s="46"/>
    </row>
    <row r="283" spans="1:12" x14ac:dyDescent="0.25">
      <c r="A283" s="2">
        <v>280</v>
      </c>
      <c r="B283" s="87"/>
      <c r="C283" s="87"/>
      <c r="D283" s="87"/>
      <c r="E283" s="82"/>
      <c r="F283" s="87"/>
      <c r="G283" s="82" t="str">
        <f t="shared" si="14"/>
        <v/>
      </c>
      <c r="H283" s="103">
        <f t="shared" si="15"/>
        <v>0</v>
      </c>
      <c r="I283" s="87"/>
      <c r="J283" s="87"/>
      <c r="K283" s="87"/>
      <c r="L283" s="46"/>
    </row>
    <row r="284" spans="1:12" x14ac:dyDescent="0.25">
      <c r="A284" s="2">
        <v>281</v>
      </c>
      <c r="B284" s="87"/>
      <c r="C284" s="87"/>
      <c r="D284" s="87"/>
      <c r="E284" s="82"/>
      <c r="F284" s="87"/>
      <c r="G284" s="82" t="str">
        <f t="shared" si="14"/>
        <v/>
      </c>
      <c r="H284" s="103">
        <f t="shared" si="15"/>
        <v>0</v>
      </c>
      <c r="I284" s="87"/>
      <c r="J284" s="87"/>
      <c r="K284" s="87"/>
      <c r="L284" s="46"/>
    </row>
    <row r="285" spans="1:12" x14ac:dyDescent="0.25">
      <c r="A285" s="2">
        <v>282</v>
      </c>
      <c r="B285" s="87"/>
      <c r="C285" s="87"/>
      <c r="D285" s="87"/>
      <c r="E285" s="82"/>
      <c r="F285" s="87"/>
      <c r="G285" s="82" t="str">
        <f t="shared" si="14"/>
        <v/>
      </c>
      <c r="H285" s="103">
        <f t="shared" si="15"/>
        <v>0</v>
      </c>
      <c r="I285" s="87"/>
      <c r="J285" s="87"/>
      <c r="K285" s="87"/>
      <c r="L285" s="46"/>
    </row>
    <row r="286" spans="1:12" x14ac:dyDescent="0.25">
      <c r="A286" s="2">
        <v>283</v>
      </c>
      <c r="B286" s="87"/>
      <c r="C286" s="87"/>
      <c r="D286" s="87"/>
      <c r="E286" s="82"/>
      <c r="F286" s="87"/>
      <c r="G286" s="82" t="str">
        <f t="shared" si="14"/>
        <v/>
      </c>
      <c r="H286" s="103">
        <f t="shared" si="15"/>
        <v>0</v>
      </c>
      <c r="I286" s="87"/>
      <c r="J286" s="87"/>
      <c r="K286" s="87"/>
      <c r="L286" s="46"/>
    </row>
    <row r="287" spans="1:12" x14ac:dyDescent="0.25">
      <c r="A287" s="2">
        <v>284</v>
      </c>
      <c r="B287" s="87"/>
      <c r="C287" s="87"/>
      <c r="D287" s="87"/>
      <c r="E287" s="82"/>
      <c r="F287" s="87"/>
      <c r="G287" s="82" t="str">
        <f t="shared" si="14"/>
        <v/>
      </c>
      <c r="H287" s="103">
        <f t="shared" si="15"/>
        <v>0</v>
      </c>
      <c r="I287" s="87"/>
      <c r="J287" s="87"/>
      <c r="K287" s="87"/>
      <c r="L287" s="46"/>
    </row>
    <row r="288" spans="1:12" x14ac:dyDescent="0.25">
      <c r="A288" s="2">
        <v>285</v>
      </c>
      <c r="B288" s="87"/>
      <c r="C288" s="87"/>
      <c r="D288" s="87"/>
      <c r="E288" s="82"/>
      <c r="F288" s="87"/>
      <c r="G288" s="82" t="str">
        <f t="shared" si="14"/>
        <v/>
      </c>
      <c r="H288" s="103">
        <f t="shared" si="15"/>
        <v>0</v>
      </c>
      <c r="I288" s="87"/>
      <c r="J288" s="87"/>
      <c r="K288" s="87"/>
      <c r="L288" s="46"/>
    </row>
    <row r="289" spans="1:12" x14ac:dyDescent="0.25">
      <c r="A289" s="2">
        <v>286</v>
      </c>
      <c r="B289" s="87"/>
      <c r="C289" s="87"/>
      <c r="D289" s="87"/>
      <c r="E289" s="82"/>
      <c r="F289" s="87"/>
      <c r="G289" s="82" t="str">
        <f t="shared" si="14"/>
        <v/>
      </c>
      <c r="H289" s="103">
        <f t="shared" si="15"/>
        <v>0</v>
      </c>
      <c r="I289" s="87"/>
      <c r="J289" s="87"/>
      <c r="K289" s="87"/>
      <c r="L289" s="46"/>
    </row>
    <row r="290" spans="1:12" x14ac:dyDescent="0.25">
      <c r="A290" s="2">
        <v>287</v>
      </c>
      <c r="B290" s="87"/>
      <c r="C290" s="87"/>
      <c r="D290" s="87"/>
      <c r="E290" s="82"/>
      <c r="F290" s="87"/>
      <c r="G290" s="82" t="str">
        <f t="shared" si="14"/>
        <v/>
      </c>
      <c r="H290" s="103">
        <f t="shared" si="15"/>
        <v>0</v>
      </c>
      <c r="I290" s="87"/>
      <c r="J290" s="87"/>
      <c r="K290" s="87"/>
      <c r="L290" s="46"/>
    </row>
    <row r="291" spans="1:12" x14ac:dyDescent="0.25">
      <c r="A291" s="2">
        <v>288</v>
      </c>
      <c r="B291" s="87"/>
      <c r="C291" s="87"/>
      <c r="D291" s="87"/>
      <c r="E291" s="82"/>
      <c r="F291" s="87"/>
      <c r="G291" s="82" t="str">
        <f t="shared" si="14"/>
        <v/>
      </c>
      <c r="H291" s="103">
        <f t="shared" si="15"/>
        <v>0</v>
      </c>
      <c r="I291" s="87"/>
      <c r="J291" s="87"/>
      <c r="K291" s="87"/>
      <c r="L291" s="46"/>
    </row>
    <row r="292" spans="1:12" x14ac:dyDescent="0.25">
      <c r="A292" s="2">
        <v>289</v>
      </c>
      <c r="B292" s="87"/>
      <c r="C292" s="87"/>
      <c r="D292" s="87"/>
      <c r="E292" s="82"/>
      <c r="F292" s="87"/>
      <c r="G292" s="82" t="str">
        <f t="shared" si="14"/>
        <v/>
      </c>
      <c r="H292" s="103">
        <f t="shared" si="15"/>
        <v>0</v>
      </c>
      <c r="I292" s="87"/>
      <c r="J292" s="87"/>
      <c r="K292" s="87"/>
      <c r="L292" s="46"/>
    </row>
    <row r="293" spans="1:12" x14ac:dyDescent="0.25">
      <c r="A293" s="2">
        <v>290</v>
      </c>
      <c r="B293" s="87"/>
      <c r="C293" s="87"/>
      <c r="D293" s="87"/>
      <c r="E293" s="82"/>
      <c r="F293" s="87"/>
      <c r="G293" s="82" t="str">
        <f t="shared" si="14"/>
        <v/>
      </c>
      <c r="H293" s="103">
        <f t="shared" si="15"/>
        <v>0</v>
      </c>
      <c r="I293" s="87"/>
      <c r="J293" s="87"/>
      <c r="K293" s="87"/>
      <c r="L293" s="46"/>
    </row>
    <row r="294" spans="1:12" x14ac:dyDescent="0.25">
      <c r="A294" s="2">
        <v>291</v>
      </c>
      <c r="B294" s="87"/>
      <c r="C294" s="87"/>
      <c r="D294" s="87"/>
      <c r="E294" s="82"/>
      <c r="F294" s="87"/>
      <c r="G294" s="82" t="str">
        <f t="shared" si="14"/>
        <v/>
      </c>
      <c r="H294" s="103">
        <f t="shared" si="15"/>
        <v>0</v>
      </c>
      <c r="I294" s="87"/>
      <c r="J294" s="87"/>
      <c r="K294" s="87"/>
      <c r="L294" s="46"/>
    </row>
    <row r="295" spans="1:12" x14ac:dyDescent="0.25">
      <c r="A295" s="2">
        <v>292</v>
      </c>
      <c r="B295" s="87"/>
      <c r="C295" s="87"/>
      <c r="D295" s="87"/>
      <c r="E295" s="82"/>
      <c r="F295" s="87"/>
      <c r="G295" s="82" t="str">
        <f t="shared" si="14"/>
        <v/>
      </c>
      <c r="H295" s="103">
        <f t="shared" si="15"/>
        <v>0</v>
      </c>
      <c r="I295" s="87"/>
      <c r="J295" s="87"/>
      <c r="K295" s="87"/>
      <c r="L295" s="46"/>
    </row>
    <row r="296" spans="1:12" x14ac:dyDescent="0.25">
      <c r="A296" s="2">
        <v>293</v>
      </c>
      <c r="B296" s="87"/>
      <c r="C296" s="87"/>
      <c r="D296" s="87"/>
      <c r="E296" s="82"/>
      <c r="F296" s="87"/>
      <c r="G296" s="82" t="str">
        <f t="shared" si="14"/>
        <v/>
      </c>
      <c r="H296" s="103">
        <f t="shared" si="15"/>
        <v>0</v>
      </c>
      <c r="I296" s="87"/>
      <c r="J296" s="87"/>
      <c r="K296" s="87"/>
      <c r="L296" s="46"/>
    </row>
    <row r="297" spans="1:12" x14ac:dyDescent="0.25">
      <c r="A297" s="2">
        <v>294</v>
      </c>
      <c r="B297" s="87"/>
      <c r="C297" s="87"/>
      <c r="D297" s="87"/>
      <c r="E297" s="82"/>
      <c r="F297" s="87"/>
      <c r="G297" s="82" t="str">
        <f t="shared" ref="G297:G360" si="16">CONCATENATE(B297,C297,D297,E297,F297)</f>
        <v/>
      </c>
      <c r="H297" s="103">
        <f t="shared" si="15"/>
        <v>0</v>
      </c>
      <c r="I297" s="87"/>
      <c r="J297" s="87"/>
      <c r="K297" s="87"/>
      <c r="L297" s="46"/>
    </row>
    <row r="298" spans="1:12" x14ac:dyDescent="0.25">
      <c r="A298" s="2">
        <v>295</v>
      </c>
      <c r="B298" s="87"/>
      <c r="C298" s="87"/>
      <c r="D298" s="87"/>
      <c r="E298" s="82"/>
      <c r="F298" s="87"/>
      <c r="G298" s="82" t="str">
        <f t="shared" si="16"/>
        <v/>
      </c>
      <c r="H298" s="103">
        <f t="shared" si="15"/>
        <v>0</v>
      </c>
      <c r="I298" s="87"/>
      <c r="J298" s="87"/>
      <c r="K298" s="87"/>
      <c r="L298" s="46"/>
    </row>
    <row r="299" spans="1:12" x14ac:dyDescent="0.25">
      <c r="A299" s="2">
        <v>296</v>
      </c>
      <c r="B299" s="87"/>
      <c r="C299" s="87"/>
      <c r="D299" s="87"/>
      <c r="E299" s="82"/>
      <c r="F299" s="87"/>
      <c r="G299" s="82" t="str">
        <f t="shared" si="16"/>
        <v/>
      </c>
      <c r="H299" s="103">
        <f t="shared" si="15"/>
        <v>0</v>
      </c>
      <c r="I299" s="87"/>
      <c r="J299" s="87"/>
      <c r="K299" s="87"/>
      <c r="L299" s="46"/>
    </row>
    <row r="300" spans="1:12" x14ac:dyDescent="0.25">
      <c r="A300" s="2">
        <v>297</v>
      </c>
      <c r="B300" s="87"/>
      <c r="C300" s="87"/>
      <c r="D300" s="87"/>
      <c r="E300" s="82"/>
      <c r="F300" s="87"/>
      <c r="G300" s="82" t="str">
        <f t="shared" si="16"/>
        <v/>
      </c>
      <c r="H300" s="103">
        <f t="shared" si="15"/>
        <v>0</v>
      </c>
      <c r="I300" s="87"/>
      <c r="J300" s="87"/>
      <c r="K300" s="87"/>
      <c r="L300" s="46"/>
    </row>
    <row r="301" spans="1:12" x14ac:dyDescent="0.25">
      <c r="A301" s="2">
        <v>298</v>
      </c>
      <c r="B301" s="87"/>
      <c r="C301" s="87"/>
      <c r="D301" s="87"/>
      <c r="E301" s="82"/>
      <c r="F301" s="87"/>
      <c r="G301" s="82" t="str">
        <f t="shared" si="16"/>
        <v/>
      </c>
      <c r="H301" s="103">
        <f t="shared" si="15"/>
        <v>0</v>
      </c>
      <c r="I301" s="87"/>
      <c r="J301" s="87"/>
      <c r="K301" s="87"/>
      <c r="L301" s="46"/>
    </row>
    <row r="302" spans="1:12" x14ac:dyDescent="0.25">
      <c r="A302" s="2">
        <v>299</v>
      </c>
      <c r="B302" s="87"/>
      <c r="C302" s="87"/>
      <c r="D302" s="87"/>
      <c r="E302" s="82"/>
      <c r="F302" s="87"/>
      <c r="G302" s="82" t="str">
        <f t="shared" si="16"/>
        <v/>
      </c>
      <c r="H302" s="103">
        <f t="shared" si="15"/>
        <v>0</v>
      </c>
      <c r="I302" s="87"/>
      <c r="J302" s="87"/>
      <c r="K302" s="87"/>
      <c r="L302" s="46"/>
    </row>
    <row r="303" spans="1:12" x14ac:dyDescent="0.25">
      <c r="A303" s="2">
        <v>300</v>
      </c>
      <c r="B303" s="87"/>
      <c r="C303" s="87"/>
      <c r="D303" s="87"/>
      <c r="E303" s="82"/>
      <c r="F303" s="87"/>
      <c r="G303" s="82" t="str">
        <f t="shared" si="16"/>
        <v/>
      </c>
      <c r="H303" s="103">
        <f t="shared" si="15"/>
        <v>0</v>
      </c>
      <c r="I303" s="87"/>
      <c r="J303" s="87"/>
      <c r="K303" s="87"/>
      <c r="L303" s="46"/>
    </row>
    <row r="304" spans="1:12" x14ac:dyDescent="0.25">
      <c r="A304" s="2">
        <v>301</v>
      </c>
      <c r="B304" s="87"/>
      <c r="C304" s="87"/>
      <c r="D304" s="87"/>
      <c r="E304" s="82"/>
      <c r="F304" s="87"/>
      <c r="G304" s="82" t="str">
        <f t="shared" si="16"/>
        <v/>
      </c>
      <c r="H304" s="103">
        <f t="shared" si="15"/>
        <v>0</v>
      </c>
      <c r="I304" s="87"/>
      <c r="J304" s="87"/>
      <c r="K304" s="87"/>
      <c r="L304" s="46"/>
    </row>
    <row r="305" spans="1:12" x14ac:dyDescent="0.25">
      <c r="A305" s="2">
        <v>302</v>
      </c>
      <c r="B305" s="87"/>
      <c r="C305" s="87"/>
      <c r="D305" s="87"/>
      <c r="E305" s="82"/>
      <c r="F305" s="87"/>
      <c r="G305" s="82" t="str">
        <f t="shared" si="16"/>
        <v/>
      </c>
      <c r="H305" s="103">
        <f t="shared" si="15"/>
        <v>0</v>
      </c>
      <c r="I305" s="87"/>
      <c r="J305" s="87"/>
      <c r="K305" s="87"/>
      <c r="L305" s="46"/>
    </row>
    <row r="306" spans="1:12" x14ac:dyDescent="0.25">
      <c r="A306" s="2">
        <v>303</v>
      </c>
      <c r="B306" s="87"/>
      <c r="C306" s="87"/>
      <c r="D306" s="87"/>
      <c r="E306" s="82"/>
      <c r="F306" s="87"/>
      <c r="G306" s="82" t="str">
        <f t="shared" si="16"/>
        <v/>
      </c>
      <c r="H306" s="103">
        <f t="shared" si="15"/>
        <v>0</v>
      </c>
      <c r="I306" s="87"/>
      <c r="J306" s="87"/>
      <c r="K306" s="87"/>
      <c r="L306" s="46"/>
    </row>
    <row r="307" spans="1:12" x14ac:dyDescent="0.25">
      <c r="A307" s="2">
        <v>304</v>
      </c>
      <c r="B307" s="87"/>
      <c r="C307" s="87"/>
      <c r="D307" s="87"/>
      <c r="E307" s="82"/>
      <c r="F307" s="87"/>
      <c r="G307" s="82" t="str">
        <f t="shared" si="16"/>
        <v/>
      </c>
      <c r="H307" s="103">
        <f t="shared" si="15"/>
        <v>0</v>
      </c>
      <c r="I307" s="87"/>
      <c r="J307" s="87"/>
      <c r="K307" s="87"/>
      <c r="L307" s="46"/>
    </row>
    <row r="308" spans="1:12" x14ac:dyDescent="0.25">
      <c r="A308" s="2">
        <v>305</v>
      </c>
      <c r="B308" s="87"/>
      <c r="C308" s="87"/>
      <c r="D308" s="87"/>
      <c r="E308" s="82"/>
      <c r="F308" s="87"/>
      <c r="G308" s="82" t="str">
        <f t="shared" si="16"/>
        <v/>
      </c>
      <c r="H308" s="103">
        <f t="shared" si="15"/>
        <v>0</v>
      </c>
      <c r="I308" s="87"/>
      <c r="J308" s="87"/>
      <c r="K308" s="87"/>
      <c r="L308" s="46"/>
    </row>
    <row r="309" spans="1:12" x14ac:dyDescent="0.25">
      <c r="A309" s="2">
        <v>306</v>
      </c>
      <c r="B309" s="87"/>
      <c r="C309" s="87"/>
      <c r="D309" s="87"/>
      <c r="E309" s="82"/>
      <c r="F309" s="87"/>
      <c r="G309" s="82" t="str">
        <f t="shared" si="16"/>
        <v/>
      </c>
      <c r="H309" s="103">
        <f t="shared" si="15"/>
        <v>0</v>
      </c>
      <c r="I309" s="87"/>
      <c r="J309" s="87"/>
      <c r="K309" s="87"/>
      <c r="L309" s="46"/>
    </row>
    <row r="310" spans="1:12" x14ac:dyDescent="0.25">
      <c r="A310" s="2">
        <v>307</v>
      </c>
      <c r="B310" s="87"/>
      <c r="C310" s="87"/>
      <c r="D310" s="87"/>
      <c r="E310" s="82"/>
      <c r="F310" s="87"/>
      <c r="G310" s="82" t="str">
        <f t="shared" si="16"/>
        <v/>
      </c>
      <c r="H310" s="103">
        <f t="shared" si="15"/>
        <v>0</v>
      </c>
      <c r="I310" s="87"/>
      <c r="J310" s="87"/>
      <c r="K310" s="87"/>
      <c r="L310" s="46"/>
    </row>
    <row r="311" spans="1:12" x14ac:dyDescent="0.25">
      <c r="A311" s="2">
        <v>308</v>
      </c>
      <c r="B311" s="87"/>
      <c r="C311" s="87"/>
      <c r="D311" s="87"/>
      <c r="E311" s="82"/>
      <c r="F311" s="87"/>
      <c r="G311" s="82" t="str">
        <f t="shared" si="16"/>
        <v/>
      </c>
      <c r="H311" s="103">
        <f t="shared" si="15"/>
        <v>0</v>
      </c>
      <c r="I311" s="87"/>
      <c r="J311" s="87"/>
      <c r="K311" s="87"/>
      <c r="L311" s="46"/>
    </row>
    <row r="312" spans="1:12" x14ac:dyDescent="0.25">
      <c r="A312" s="2">
        <v>309</v>
      </c>
      <c r="B312" s="87"/>
      <c r="C312" s="87"/>
      <c r="D312" s="87"/>
      <c r="E312" s="82"/>
      <c r="F312" s="87"/>
      <c r="G312" s="82" t="str">
        <f t="shared" si="16"/>
        <v/>
      </c>
      <c r="H312" s="103">
        <f t="shared" si="15"/>
        <v>0</v>
      </c>
      <c r="I312" s="87"/>
      <c r="J312" s="87"/>
      <c r="K312" s="87"/>
      <c r="L312" s="46"/>
    </row>
    <row r="313" spans="1:12" x14ac:dyDescent="0.25">
      <c r="A313" s="2">
        <v>310</v>
      </c>
      <c r="B313" s="87"/>
      <c r="C313" s="87"/>
      <c r="D313" s="87"/>
      <c r="E313" s="82"/>
      <c r="F313" s="87"/>
      <c r="G313" s="82" t="str">
        <f t="shared" si="16"/>
        <v/>
      </c>
      <c r="H313" s="103">
        <f t="shared" si="15"/>
        <v>0</v>
      </c>
      <c r="I313" s="87"/>
      <c r="J313" s="87"/>
      <c r="K313" s="87"/>
      <c r="L313" s="46"/>
    </row>
    <row r="314" spans="1:12" x14ac:dyDescent="0.25">
      <c r="A314" s="2">
        <v>311</v>
      </c>
      <c r="B314" s="87"/>
      <c r="C314" s="87"/>
      <c r="D314" s="87"/>
      <c r="E314" s="82"/>
      <c r="F314" s="87"/>
      <c r="G314" s="82" t="str">
        <f t="shared" si="16"/>
        <v/>
      </c>
      <c r="H314" s="103">
        <f t="shared" si="15"/>
        <v>0</v>
      </c>
      <c r="I314" s="87"/>
      <c r="J314" s="87"/>
      <c r="K314" s="87"/>
      <c r="L314" s="46"/>
    </row>
    <row r="315" spans="1:12" x14ac:dyDescent="0.25">
      <c r="A315" s="2">
        <v>312</v>
      </c>
      <c r="B315" s="87"/>
      <c r="C315" s="87"/>
      <c r="D315" s="87"/>
      <c r="E315" s="82"/>
      <c r="F315" s="87"/>
      <c r="G315" s="82" t="str">
        <f t="shared" si="16"/>
        <v/>
      </c>
      <c r="H315" s="103">
        <f t="shared" si="15"/>
        <v>0</v>
      </c>
      <c r="I315" s="87"/>
      <c r="J315" s="87"/>
      <c r="K315" s="87"/>
      <c r="L315" s="46"/>
    </row>
    <row r="316" spans="1:12" x14ac:dyDescent="0.25">
      <c r="A316" s="2">
        <v>313</v>
      </c>
      <c r="B316" s="87"/>
      <c r="C316" s="87"/>
      <c r="D316" s="87"/>
      <c r="E316" s="82"/>
      <c r="F316" s="87"/>
      <c r="G316" s="82" t="str">
        <f t="shared" si="16"/>
        <v/>
      </c>
      <c r="H316" s="103">
        <f t="shared" si="15"/>
        <v>0</v>
      </c>
      <c r="I316" s="87"/>
      <c r="J316" s="87"/>
      <c r="K316" s="87"/>
      <c r="L316" s="46"/>
    </row>
    <row r="317" spans="1:12" x14ac:dyDescent="0.25">
      <c r="A317" s="2">
        <v>314</v>
      </c>
      <c r="B317" s="87"/>
      <c r="C317" s="87"/>
      <c r="D317" s="87"/>
      <c r="E317" s="82"/>
      <c r="F317" s="87"/>
      <c r="G317" s="82" t="str">
        <f t="shared" si="16"/>
        <v/>
      </c>
      <c r="H317" s="103">
        <f t="shared" si="15"/>
        <v>0</v>
      </c>
      <c r="I317" s="87"/>
      <c r="J317" s="87"/>
      <c r="K317" s="87"/>
      <c r="L317" s="46"/>
    </row>
    <row r="318" spans="1:12" x14ac:dyDescent="0.25">
      <c r="A318" s="2">
        <v>315</v>
      </c>
      <c r="B318" s="87"/>
      <c r="C318" s="87"/>
      <c r="D318" s="87"/>
      <c r="E318" s="82"/>
      <c r="F318" s="87"/>
      <c r="G318" s="82" t="str">
        <f t="shared" si="16"/>
        <v/>
      </c>
      <c r="H318" s="103">
        <f t="shared" si="15"/>
        <v>0</v>
      </c>
      <c r="I318" s="87"/>
      <c r="J318" s="87"/>
      <c r="K318" s="87"/>
      <c r="L318" s="46"/>
    </row>
    <row r="319" spans="1:12" x14ac:dyDescent="0.25">
      <c r="A319" s="2">
        <v>316</v>
      </c>
      <c r="B319" s="87"/>
      <c r="C319" s="87"/>
      <c r="D319" s="87"/>
      <c r="E319" s="82"/>
      <c r="F319" s="87"/>
      <c r="G319" s="82" t="str">
        <f t="shared" si="16"/>
        <v/>
      </c>
      <c r="H319" s="103">
        <f t="shared" si="15"/>
        <v>0</v>
      </c>
      <c r="I319" s="87"/>
      <c r="J319" s="87"/>
      <c r="K319" s="87"/>
      <c r="L319" s="46"/>
    </row>
    <row r="320" spans="1:12" x14ac:dyDescent="0.25">
      <c r="A320" s="2">
        <v>317</v>
      </c>
      <c r="B320" s="87"/>
      <c r="C320" s="87"/>
      <c r="D320" s="87"/>
      <c r="E320" s="82"/>
      <c r="F320" s="87"/>
      <c r="G320" s="82" t="str">
        <f t="shared" si="16"/>
        <v/>
      </c>
      <c r="H320" s="103">
        <f t="shared" si="15"/>
        <v>0</v>
      </c>
      <c r="I320" s="87"/>
      <c r="J320" s="87"/>
      <c r="K320" s="87"/>
      <c r="L320" s="46"/>
    </row>
    <row r="321" spans="1:12" x14ac:dyDescent="0.25">
      <c r="A321" s="2">
        <v>318</v>
      </c>
      <c r="B321" s="87"/>
      <c r="C321" s="87"/>
      <c r="D321" s="87"/>
      <c r="E321" s="82"/>
      <c r="F321" s="87"/>
      <c r="G321" s="82" t="str">
        <f t="shared" si="16"/>
        <v/>
      </c>
      <c r="H321" s="103">
        <f t="shared" si="15"/>
        <v>0</v>
      </c>
      <c r="I321" s="87"/>
      <c r="J321" s="87"/>
      <c r="K321" s="87"/>
      <c r="L321" s="46"/>
    </row>
    <row r="322" spans="1:12" x14ac:dyDescent="0.25">
      <c r="A322" s="2">
        <v>319</v>
      </c>
      <c r="B322" s="87"/>
      <c r="C322" s="87"/>
      <c r="D322" s="87"/>
      <c r="E322" s="82"/>
      <c r="F322" s="87"/>
      <c r="G322" s="82" t="str">
        <f t="shared" si="16"/>
        <v/>
      </c>
      <c r="H322" s="103">
        <f t="shared" si="15"/>
        <v>0</v>
      </c>
      <c r="I322" s="87"/>
      <c r="J322" s="87"/>
      <c r="K322" s="87"/>
      <c r="L322" s="46"/>
    </row>
    <row r="323" spans="1:12" x14ac:dyDescent="0.25">
      <c r="A323" s="2">
        <v>320</v>
      </c>
      <c r="B323" s="87"/>
      <c r="C323" s="87"/>
      <c r="D323" s="87"/>
      <c r="E323" s="82"/>
      <c r="F323" s="87"/>
      <c r="G323" s="82" t="str">
        <f t="shared" si="16"/>
        <v/>
      </c>
      <c r="H323" s="103">
        <f t="shared" si="15"/>
        <v>0</v>
      </c>
      <c r="I323" s="87"/>
      <c r="J323" s="87"/>
      <c r="K323" s="87"/>
      <c r="L323" s="46"/>
    </row>
    <row r="324" spans="1:12" x14ac:dyDescent="0.25">
      <c r="A324" s="2">
        <v>321</v>
      </c>
      <c r="B324" s="87"/>
      <c r="C324" s="87"/>
      <c r="D324" s="87"/>
      <c r="E324" s="82"/>
      <c r="F324" s="87"/>
      <c r="G324" s="82" t="str">
        <f t="shared" si="16"/>
        <v/>
      </c>
      <c r="H324" s="103">
        <f t="shared" si="15"/>
        <v>0</v>
      </c>
      <c r="I324" s="87"/>
      <c r="J324" s="87"/>
      <c r="K324" s="87"/>
      <c r="L324" s="46"/>
    </row>
    <row r="325" spans="1:12" x14ac:dyDescent="0.25">
      <c r="A325" s="2">
        <v>322</v>
      </c>
      <c r="B325" s="87"/>
      <c r="C325" s="87"/>
      <c r="D325" s="87"/>
      <c r="E325" s="82"/>
      <c r="F325" s="87"/>
      <c r="G325" s="82" t="str">
        <f t="shared" si="16"/>
        <v/>
      </c>
      <c r="H325" s="103">
        <f t="shared" si="15"/>
        <v>0</v>
      </c>
      <c r="I325" s="87"/>
      <c r="J325" s="87"/>
      <c r="K325" s="87"/>
      <c r="L325" s="46"/>
    </row>
    <row r="326" spans="1:12" x14ac:dyDescent="0.25">
      <c r="A326" s="2">
        <v>323</v>
      </c>
      <c r="B326" s="87"/>
      <c r="C326" s="87"/>
      <c r="D326" s="87"/>
      <c r="E326" s="82"/>
      <c r="F326" s="87"/>
      <c r="G326" s="82" t="str">
        <f t="shared" si="16"/>
        <v/>
      </c>
      <c r="H326" s="103">
        <f t="shared" si="15"/>
        <v>0</v>
      </c>
      <c r="I326" s="87"/>
      <c r="J326" s="87"/>
      <c r="K326" s="87"/>
      <c r="L326" s="46"/>
    </row>
    <row r="327" spans="1:12" x14ac:dyDescent="0.25">
      <c r="A327" s="2">
        <v>324</v>
      </c>
      <c r="B327" s="87"/>
      <c r="C327" s="87"/>
      <c r="D327" s="87"/>
      <c r="E327" s="82"/>
      <c r="F327" s="87"/>
      <c r="G327" s="82" t="str">
        <f t="shared" si="16"/>
        <v/>
      </c>
      <c r="H327" s="103">
        <f t="shared" si="15"/>
        <v>0</v>
      </c>
      <c r="I327" s="87"/>
      <c r="J327" s="87"/>
      <c r="K327" s="87"/>
      <c r="L327" s="46"/>
    </row>
    <row r="328" spans="1:12" x14ac:dyDescent="0.25">
      <c r="A328" s="2">
        <v>325</v>
      </c>
      <c r="B328" s="87"/>
      <c r="C328" s="87"/>
      <c r="D328" s="87"/>
      <c r="E328" s="82"/>
      <c r="F328" s="87"/>
      <c r="G328" s="82" t="str">
        <f t="shared" si="16"/>
        <v/>
      </c>
      <c r="H328" s="103">
        <f t="shared" si="15"/>
        <v>0</v>
      </c>
      <c r="I328" s="87"/>
      <c r="J328" s="87"/>
      <c r="K328" s="87"/>
      <c r="L328" s="46"/>
    </row>
    <row r="329" spans="1:12" x14ac:dyDescent="0.25">
      <c r="A329" s="2">
        <v>326</v>
      </c>
      <c r="B329" s="87"/>
      <c r="C329" s="87"/>
      <c r="D329" s="87"/>
      <c r="E329" s="82"/>
      <c r="F329" s="87"/>
      <c r="G329" s="82" t="str">
        <f t="shared" si="16"/>
        <v/>
      </c>
      <c r="H329" s="103">
        <f t="shared" si="15"/>
        <v>0</v>
      </c>
      <c r="I329" s="87"/>
      <c r="J329" s="87"/>
      <c r="K329" s="87"/>
      <c r="L329" s="46"/>
    </row>
    <row r="330" spans="1:12" x14ac:dyDescent="0.25">
      <c r="A330" s="2">
        <v>327</v>
      </c>
      <c r="B330" s="87"/>
      <c r="C330" s="87"/>
      <c r="D330" s="87"/>
      <c r="E330" s="82"/>
      <c r="F330" s="87"/>
      <c r="G330" s="82" t="str">
        <f t="shared" si="16"/>
        <v/>
      </c>
      <c r="H330" s="103">
        <f t="shared" si="15"/>
        <v>0</v>
      </c>
      <c r="I330" s="87"/>
      <c r="J330" s="87"/>
      <c r="K330" s="87"/>
      <c r="L330" s="46"/>
    </row>
    <row r="331" spans="1:12" x14ac:dyDescent="0.25">
      <c r="A331" s="2">
        <v>328</v>
      </c>
      <c r="B331" s="87"/>
      <c r="C331" s="87"/>
      <c r="D331" s="87"/>
      <c r="E331" s="82"/>
      <c r="F331" s="87"/>
      <c r="G331" s="82" t="str">
        <f t="shared" si="16"/>
        <v/>
      </c>
      <c r="H331" s="103">
        <f t="shared" si="15"/>
        <v>0</v>
      </c>
      <c r="I331" s="87"/>
      <c r="J331" s="87"/>
      <c r="K331" s="87"/>
      <c r="L331" s="46"/>
    </row>
    <row r="332" spans="1:12" x14ac:dyDescent="0.25">
      <c r="A332" s="2">
        <v>329</v>
      </c>
      <c r="B332" s="87"/>
      <c r="C332" s="87"/>
      <c r="D332" s="87"/>
      <c r="E332" s="82"/>
      <c r="F332" s="87"/>
      <c r="G332" s="82" t="str">
        <f t="shared" si="16"/>
        <v/>
      </c>
      <c r="H332" s="103">
        <f t="shared" si="15"/>
        <v>0</v>
      </c>
      <c r="I332" s="87"/>
      <c r="J332" s="87"/>
      <c r="K332" s="87"/>
      <c r="L332" s="46"/>
    </row>
    <row r="333" spans="1:12" x14ac:dyDescent="0.25">
      <c r="A333" s="2">
        <v>330</v>
      </c>
      <c r="B333" s="87"/>
      <c r="C333" s="87"/>
      <c r="D333" s="87"/>
      <c r="E333" s="82"/>
      <c r="F333" s="87"/>
      <c r="G333" s="82" t="str">
        <f t="shared" si="16"/>
        <v/>
      </c>
      <c r="H333" s="103">
        <f t="shared" si="15"/>
        <v>0</v>
      </c>
      <c r="I333" s="87"/>
      <c r="J333" s="87"/>
      <c r="K333" s="87"/>
      <c r="L333" s="46"/>
    </row>
    <row r="334" spans="1:12" x14ac:dyDescent="0.25">
      <c r="A334" s="2">
        <v>331</v>
      </c>
      <c r="B334" s="87"/>
      <c r="C334" s="87"/>
      <c r="D334" s="87"/>
      <c r="E334" s="82"/>
      <c r="F334" s="87"/>
      <c r="G334" s="82" t="str">
        <f t="shared" si="16"/>
        <v/>
      </c>
      <c r="H334" s="103">
        <f t="shared" ref="H334:H345" si="17">I334/8</f>
        <v>0</v>
      </c>
      <c r="I334" s="87"/>
      <c r="J334" s="87"/>
      <c r="K334" s="87"/>
      <c r="L334" s="46"/>
    </row>
    <row r="335" spans="1:12" x14ac:dyDescent="0.25">
      <c r="A335" s="2">
        <v>332</v>
      </c>
      <c r="B335" s="87"/>
      <c r="C335" s="87"/>
      <c r="D335" s="87"/>
      <c r="E335" s="82"/>
      <c r="F335" s="87"/>
      <c r="G335" s="82" t="str">
        <f t="shared" si="16"/>
        <v/>
      </c>
      <c r="H335" s="103">
        <f t="shared" si="17"/>
        <v>0</v>
      </c>
      <c r="I335" s="87"/>
      <c r="J335" s="87"/>
      <c r="K335" s="87"/>
      <c r="L335" s="46"/>
    </row>
    <row r="336" spans="1:12" x14ac:dyDescent="0.25">
      <c r="A336" s="2">
        <v>333</v>
      </c>
      <c r="B336" s="87"/>
      <c r="C336" s="87"/>
      <c r="D336" s="87"/>
      <c r="E336" s="82"/>
      <c r="F336" s="87"/>
      <c r="G336" s="82" t="str">
        <f t="shared" si="16"/>
        <v/>
      </c>
      <c r="H336" s="103">
        <f t="shared" si="17"/>
        <v>0</v>
      </c>
      <c r="I336" s="87"/>
      <c r="J336" s="87"/>
      <c r="K336" s="87"/>
      <c r="L336" s="46"/>
    </row>
    <row r="337" spans="1:12" x14ac:dyDescent="0.25">
      <c r="A337" s="2">
        <v>334</v>
      </c>
      <c r="B337" s="87"/>
      <c r="C337" s="87"/>
      <c r="D337" s="87"/>
      <c r="E337" s="82"/>
      <c r="F337" s="87"/>
      <c r="G337" s="82" t="str">
        <f t="shared" si="16"/>
        <v/>
      </c>
      <c r="H337" s="103">
        <f t="shared" si="17"/>
        <v>0</v>
      </c>
      <c r="I337" s="87"/>
      <c r="J337" s="87"/>
      <c r="K337" s="87"/>
      <c r="L337" s="46"/>
    </row>
    <row r="338" spans="1:12" x14ac:dyDescent="0.25">
      <c r="A338" s="2">
        <v>335</v>
      </c>
      <c r="B338" s="87"/>
      <c r="C338" s="87"/>
      <c r="D338" s="87"/>
      <c r="E338" s="82"/>
      <c r="F338" s="87"/>
      <c r="G338" s="82" t="str">
        <f t="shared" si="16"/>
        <v/>
      </c>
      <c r="H338" s="103">
        <f t="shared" si="17"/>
        <v>0</v>
      </c>
      <c r="I338" s="87"/>
      <c r="J338" s="87"/>
      <c r="K338" s="87"/>
      <c r="L338" s="46"/>
    </row>
    <row r="339" spans="1:12" x14ac:dyDescent="0.25">
      <c r="A339" s="2">
        <v>336</v>
      </c>
      <c r="B339" s="87"/>
      <c r="C339" s="87"/>
      <c r="D339" s="87"/>
      <c r="E339" s="82"/>
      <c r="F339" s="87"/>
      <c r="G339" s="82" t="str">
        <f t="shared" si="16"/>
        <v/>
      </c>
      <c r="H339" s="103">
        <f t="shared" si="17"/>
        <v>0</v>
      </c>
      <c r="I339" s="87"/>
      <c r="J339" s="87"/>
      <c r="K339" s="87"/>
      <c r="L339" s="46"/>
    </row>
    <row r="340" spans="1:12" x14ac:dyDescent="0.25">
      <c r="A340" s="2">
        <v>337</v>
      </c>
      <c r="B340" s="87"/>
      <c r="C340" s="87"/>
      <c r="D340" s="87"/>
      <c r="E340" s="82"/>
      <c r="F340" s="87"/>
      <c r="G340" s="82" t="str">
        <f t="shared" si="16"/>
        <v/>
      </c>
      <c r="H340" s="103">
        <f t="shared" si="17"/>
        <v>0</v>
      </c>
      <c r="I340" s="87"/>
      <c r="J340" s="87"/>
      <c r="K340" s="87"/>
      <c r="L340" s="46"/>
    </row>
    <row r="341" spans="1:12" x14ac:dyDescent="0.25">
      <c r="A341" s="2">
        <v>338</v>
      </c>
      <c r="B341" s="87"/>
      <c r="C341" s="87"/>
      <c r="D341" s="87"/>
      <c r="E341" s="82"/>
      <c r="F341" s="87"/>
      <c r="G341" s="82" t="str">
        <f t="shared" si="16"/>
        <v/>
      </c>
      <c r="H341" s="103">
        <f t="shared" si="17"/>
        <v>0</v>
      </c>
      <c r="I341" s="87"/>
      <c r="J341" s="87"/>
      <c r="K341" s="87"/>
      <c r="L341" s="46"/>
    </row>
    <row r="342" spans="1:12" x14ac:dyDescent="0.25">
      <c r="A342" s="2">
        <v>339</v>
      </c>
      <c r="B342" s="87"/>
      <c r="C342" s="87"/>
      <c r="D342" s="87"/>
      <c r="E342" s="82"/>
      <c r="F342" s="87"/>
      <c r="G342" s="82" t="str">
        <f t="shared" si="16"/>
        <v/>
      </c>
      <c r="H342" s="103">
        <f t="shared" si="17"/>
        <v>0</v>
      </c>
      <c r="I342" s="87"/>
      <c r="J342" s="87"/>
      <c r="K342" s="87"/>
      <c r="L342" s="46"/>
    </row>
    <row r="343" spans="1:12" x14ac:dyDescent="0.25">
      <c r="A343" s="2">
        <v>340</v>
      </c>
      <c r="B343" s="87"/>
      <c r="C343" s="87"/>
      <c r="D343" s="87"/>
      <c r="E343" s="82"/>
      <c r="F343" s="87"/>
      <c r="G343" s="82" t="str">
        <f t="shared" si="16"/>
        <v/>
      </c>
      <c r="H343" s="103">
        <f t="shared" si="17"/>
        <v>0</v>
      </c>
      <c r="I343" s="87"/>
      <c r="J343" s="87"/>
      <c r="K343" s="87"/>
      <c r="L343" s="46"/>
    </row>
    <row r="344" spans="1:12" x14ac:dyDescent="0.25">
      <c r="A344" s="2">
        <v>341</v>
      </c>
      <c r="B344" s="87"/>
      <c r="C344" s="87"/>
      <c r="D344" s="87"/>
      <c r="E344" s="82"/>
      <c r="F344" s="87"/>
      <c r="G344" s="82" t="str">
        <f t="shared" si="16"/>
        <v/>
      </c>
      <c r="H344" s="103">
        <f t="shared" si="17"/>
        <v>0</v>
      </c>
      <c r="I344" s="87"/>
      <c r="J344" s="87"/>
      <c r="K344" s="87"/>
      <c r="L344" s="46"/>
    </row>
    <row r="345" spans="1:12" x14ac:dyDescent="0.25">
      <c r="A345" s="2">
        <v>342</v>
      </c>
      <c r="B345" s="87"/>
      <c r="C345" s="87"/>
      <c r="D345" s="87"/>
      <c r="E345" s="82"/>
      <c r="F345" s="87"/>
      <c r="G345" s="82" t="str">
        <f t="shared" si="16"/>
        <v/>
      </c>
      <c r="H345" s="103">
        <f t="shared" si="17"/>
        <v>0</v>
      </c>
      <c r="I345" s="87"/>
      <c r="J345" s="87"/>
      <c r="K345" s="87"/>
      <c r="L345" s="46"/>
    </row>
    <row r="346" spans="1:12" x14ac:dyDescent="0.25">
      <c r="A346" s="2">
        <v>343</v>
      </c>
      <c r="B346" s="87"/>
      <c r="C346" s="87"/>
      <c r="D346" s="87"/>
      <c r="E346" s="82"/>
      <c r="F346" s="87"/>
      <c r="G346" s="82" t="str">
        <f t="shared" si="16"/>
        <v/>
      </c>
      <c r="H346" s="103">
        <f t="shared" ref="H346:H383" si="18">I346/8</f>
        <v>0</v>
      </c>
      <c r="I346" s="87"/>
      <c r="J346" s="87"/>
      <c r="K346" s="87"/>
      <c r="L346" s="46"/>
    </row>
    <row r="347" spans="1:12" x14ac:dyDescent="0.25">
      <c r="A347" s="2">
        <v>344</v>
      </c>
      <c r="B347" s="87"/>
      <c r="C347" s="87"/>
      <c r="D347" s="87"/>
      <c r="E347" s="82"/>
      <c r="F347" s="87"/>
      <c r="G347" s="82" t="str">
        <f t="shared" si="16"/>
        <v/>
      </c>
      <c r="H347" s="103">
        <f t="shared" si="18"/>
        <v>0</v>
      </c>
      <c r="I347" s="87"/>
      <c r="J347" s="87"/>
      <c r="K347" s="87"/>
      <c r="L347" s="46"/>
    </row>
    <row r="348" spans="1:12" x14ac:dyDescent="0.25">
      <c r="A348" s="2">
        <v>345</v>
      </c>
      <c r="B348" s="87"/>
      <c r="C348" s="87"/>
      <c r="D348" s="87"/>
      <c r="E348" s="82"/>
      <c r="F348" s="87"/>
      <c r="G348" s="82" t="str">
        <f t="shared" si="16"/>
        <v/>
      </c>
      <c r="H348" s="103">
        <f t="shared" si="18"/>
        <v>0</v>
      </c>
      <c r="I348" s="87"/>
      <c r="J348" s="87"/>
      <c r="K348" s="87"/>
      <c r="L348" s="46"/>
    </row>
    <row r="349" spans="1:12" x14ac:dyDescent="0.25">
      <c r="A349" s="2">
        <v>346</v>
      </c>
      <c r="B349" s="87"/>
      <c r="C349" s="87"/>
      <c r="D349" s="87"/>
      <c r="E349" s="82"/>
      <c r="F349" s="87"/>
      <c r="G349" s="82" t="str">
        <f t="shared" si="16"/>
        <v/>
      </c>
      <c r="H349" s="103">
        <f t="shared" si="18"/>
        <v>0</v>
      </c>
      <c r="I349" s="87"/>
      <c r="J349" s="87"/>
      <c r="K349" s="87"/>
      <c r="L349" s="46"/>
    </row>
    <row r="350" spans="1:12" x14ac:dyDescent="0.25">
      <c r="A350" s="2">
        <v>347</v>
      </c>
      <c r="B350" s="87"/>
      <c r="C350" s="87"/>
      <c r="D350" s="87"/>
      <c r="E350" s="82"/>
      <c r="F350" s="87"/>
      <c r="G350" s="82" t="str">
        <f t="shared" si="16"/>
        <v/>
      </c>
      <c r="H350" s="103">
        <f t="shared" si="18"/>
        <v>0</v>
      </c>
      <c r="I350" s="87"/>
      <c r="J350" s="87"/>
      <c r="K350" s="87"/>
      <c r="L350" s="46"/>
    </row>
    <row r="351" spans="1:12" x14ac:dyDescent="0.25">
      <c r="A351" s="2">
        <v>348</v>
      </c>
      <c r="B351" s="87"/>
      <c r="C351" s="87"/>
      <c r="D351" s="87"/>
      <c r="E351" s="82"/>
      <c r="F351" s="87"/>
      <c r="G351" s="82" t="str">
        <f t="shared" si="16"/>
        <v/>
      </c>
      <c r="H351" s="103">
        <f t="shared" si="18"/>
        <v>0</v>
      </c>
      <c r="I351" s="87"/>
      <c r="J351" s="87"/>
      <c r="K351" s="87"/>
      <c r="L351" s="46"/>
    </row>
    <row r="352" spans="1:12" x14ac:dyDescent="0.25">
      <c r="A352" s="2">
        <v>349</v>
      </c>
      <c r="B352" s="87"/>
      <c r="C352" s="87"/>
      <c r="D352" s="87"/>
      <c r="E352" s="82"/>
      <c r="F352" s="87"/>
      <c r="G352" s="82" t="str">
        <f t="shared" si="16"/>
        <v/>
      </c>
      <c r="H352" s="103">
        <f t="shared" si="18"/>
        <v>0</v>
      </c>
      <c r="I352" s="87"/>
      <c r="J352" s="87"/>
      <c r="K352" s="87"/>
      <c r="L352" s="46"/>
    </row>
    <row r="353" spans="1:12" x14ac:dyDescent="0.25">
      <c r="A353" s="2">
        <v>350</v>
      </c>
      <c r="B353" s="87"/>
      <c r="C353" s="87"/>
      <c r="D353" s="87"/>
      <c r="E353" s="82"/>
      <c r="F353" s="87"/>
      <c r="G353" s="82" t="str">
        <f t="shared" si="16"/>
        <v/>
      </c>
      <c r="H353" s="103">
        <f t="shared" si="18"/>
        <v>0</v>
      </c>
      <c r="I353" s="87"/>
      <c r="J353" s="87"/>
      <c r="K353" s="87"/>
      <c r="L353" s="46"/>
    </row>
    <row r="354" spans="1:12" x14ac:dyDescent="0.25">
      <c r="A354" s="2">
        <v>351</v>
      </c>
      <c r="B354" s="87"/>
      <c r="C354" s="87"/>
      <c r="D354" s="87"/>
      <c r="E354" s="82"/>
      <c r="F354" s="87"/>
      <c r="G354" s="82" t="str">
        <f t="shared" si="16"/>
        <v/>
      </c>
      <c r="H354" s="103">
        <f t="shared" si="18"/>
        <v>0</v>
      </c>
      <c r="I354" s="87"/>
      <c r="J354" s="87"/>
      <c r="K354" s="87"/>
      <c r="L354" s="46"/>
    </row>
    <row r="355" spans="1:12" x14ac:dyDescent="0.25">
      <c r="A355" s="2">
        <v>352</v>
      </c>
      <c r="B355" s="87"/>
      <c r="C355" s="87"/>
      <c r="D355" s="87"/>
      <c r="E355" s="82"/>
      <c r="F355" s="87"/>
      <c r="G355" s="82" t="str">
        <f t="shared" si="16"/>
        <v/>
      </c>
      <c r="H355" s="103">
        <f t="shared" si="18"/>
        <v>0</v>
      </c>
      <c r="I355" s="87"/>
      <c r="J355" s="87"/>
      <c r="K355" s="87"/>
      <c r="L355" s="46"/>
    </row>
    <row r="356" spans="1:12" x14ac:dyDescent="0.25">
      <c r="A356" s="2">
        <v>353</v>
      </c>
      <c r="B356" s="87"/>
      <c r="C356" s="87"/>
      <c r="D356" s="87"/>
      <c r="E356" s="82"/>
      <c r="F356" s="87"/>
      <c r="G356" s="82" t="str">
        <f t="shared" si="16"/>
        <v/>
      </c>
      <c r="H356" s="103">
        <f t="shared" si="18"/>
        <v>0</v>
      </c>
      <c r="I356" s="87"/>
      <c r="J356" s="87"/>
      <c r="K356" s="87"/>
      <c r="L356" s="46"/>
    </row>
    <row r="357" spans="1:12" x14ac:dyDescent="0.25">
      <c r="A357" s="2">
        <v>354</v>
      </c>
      <c r="B357" s="87"/>
      <c r="C357" s="87"/>
      <c r="D357" s="87"/>
      <c r="E357" s="82"/>
      <c r="F357" s="87"/>
      <c r="G357" s="82" t="str">
        <f t="shared" si="16"/>
        <v/>
      </c>
      <c r="H357" s="103">
        <f t="shared" si="18"/>
        <v>0</v>
      </c>
      <c r="I357" s="87"/>
      <c r="J357" s="87"/>
      <c r="K357" s="87"/>
      <c r="L357" s="46"/>
    </row>
    <row r="358" spans="1:12" x14ac:dyDescent="0.25">
      <c r="A358" s="2">
        <v>355</v>
      </c>
      <c r="B358" s="87"/>
      <c r="C358" s="87"/>
      <c r="D358" s="87"/>
      <c r="E358" s="82"/>
      <c r="F358" s="87"/>
      <c r="G358" s="82" t="str">
        <f t="shared" si="16"/>
        <v/>
      </c>
      <c r="H358" s="103">
        <f t="shared" si="18"/>
        <v>0</v>
      </c>
      <c r="I358" s="87"/>
      <c r="J358" s="87"/>
      <c r="K358" s="87"/>
      <c r="L358" s="46"/>
    </row>
    <row r="359" spans="1:12" x14ac:dyDescent="0.25">
      <c r="A359" s="2">
        <v>356</v>
      </c>
      <c r="B359" s="87"/>
      <c r="C359" s="87"/>
      <c r="D359" s="87"/>
      <c r="E359" s="82"/>
      <c r="F359" s="87"/>
      <c r="G359" s="82" t="str">
        <f t="shared" si="16"/>
        <v/>
      </c>
      <c r="H359" s="103">
        <f t="shared" si="18"/>
        <v>0</v>
      </c>
      <c r="I359" s="87"/>
      <c r="J359" s="87"/>
      <c r="K359" s="87"/>
      <c r="L359" s="46"/>
    </row>
    <row r="360" spans="1:12" x14ac:dyDescent="0.25">
      <c r="A360" s="2">
        <v>357</v>
      </c>
      <c r="B360" s="87"/>
      <c r="C360" s="87"/>
      <c r="D360" s="87"/>
      <c r="E360" s="82"/>
      <c r="F360" s="87"/>
      <c r="G360" s="82" t="str">
        <f t="shared" si="16"/>
        <v/>
      </c>
      <c r="H360" s="103">
        <f t="shared" si="18"/>
        <v>0</v>
      </c>
      <c r="I360" s="87"/>
      <c r="J360" s="87"/>
      <c r="K360" s="87"/>
      <c r="L360" s="46"/>
    </row>
    <row r="361" spans="1:12" x14ac:dyDescent="0.25">
      <c r="A361" s="2">
        <v>358</v>
      </c>
      <c r="B361" s="87"/>
      <c r="C361" s="87"/>
      <c r="D361" s="87"/>
      <c r="E361" s="82"/>
      <c r="F361" s="87"/>
      <c r="G361" s="82" t="str">
        <f t="shared" ref="G361:G402" si="19">CONCATENATE(B361,C361,D361,E361,F361)</f>
        <v/>
      </c>
      <c r="H361" s="103">
        <f t="shared" si="18"/>
        <v>0</v>
      </c>
      <c r="I361" s="87"/>
      <c r="J361" s="87"/>
      <c r="K361" s="87"/>
      <c r="L361" s="46"/>
    </row>
    <row r="362" spans="1:12" x14ac:dyDescent="0.25">
      <c r="A362" s="2">
        <v>359</v>
      </c>
      <c r="B362" s="87"/>
      <c r="C362" s="87"/>
      <c r="D362" s="87"/>
      <c r="E362" s="82"/>
      <c r="F362" s="87"/>
      <c r="G362" s="82" t="str">
        <f t="shared" si="19"/>
        <v/>
      </c>
      <c r="H362" s="103">
        <f t="shared" si="18"/>
        <v>0</v>
      </c>
      <c r="I362" s="87"/>
      <c r="J362" s="87"/>
      <c r="K362" s="87"/>
      <c r="L362" s="46"/>
    </row>
    <row r="363" spans="1:12" x14ac:dyDescent="0.25">
      <c r="A363" s="2">
        <v>360</v>
      </c>
      <c r="B363" s="87"/>
      <c r="C363" s="87"/>
      <c r="D363" s="87"/>
      <c r="E363" s="82"/>
      <c r="F363" s="87"/>
      <c r="G363" s="82" t="str">
        <f t="shared" si="19"/>
        <v/>
      </c>
      <c r="H363" s="103">
        <f t="shared" si="18"/>
        <v>0</v>
      </c>
      <c r="I363" s="87"/>
      <c r="J363" s="87"/>
      <c r="K363" s="87"/>
      <c r="L363" s="46"/>
    </row>
    <row r="364" spans="1:12" x14ac:dyDescent="0.25">
      <c r="A364" s="2">
        <v>361</v>
      </c>
      <c r="B364" s="87"/>
      <c r="C364" s="87"/>
      <c r="D364" s="87"/>
      <c r="E364" s="82"/>
      <c r="F364" s="87"/>
      <c r="G364" s="82" t="str">
        <f t="shared" si="19"/>
        <v/>
      </c>
      <c r="H364" s="103">
        <f t="shared" si="18"/>
        <v>0</v>
      </c>
      <c r="I364" s="87"/>
      <c r="J364" s="87"/>
      <c r="K364" s="87"/>
      <c r="L364" s="46"/>
    </row>
    <row r="365" spans="1:12" x14ac:dyDescent="0.25">
      <c r="A365" s="2">
        <v>362</v>
      </c>
      <c r="B365" s="87"/>
      <c r="C365" s="87"/>
      <c r="D365" s="87"/>
      <c r="E365" s="82"/>
      <c r="F365" s="87"/>
      <c r="G365" s="82" t="str">
        <f t="shared" si="19"/>
        <v/>
      </c>
      <c r="H365" s="103">
        <f t="shared" si="18"/>
        <v>0</v>
      </c>
      <c r="I365" s="87"/>
      <c r="J365" s="87"/>
      <c r="K365" s="87"/>
      <c r="L365" s="46"/>
    </row>
    <row r="366" spans="1:12" x14ac:dyDescent="0.25">
      <c r="A366" s="2">
        <v>363</v>
      </c>
      <c r="B366" s="87"/>
      <c r="C366" s="87"/>
      <c r="D366" s="87"/>
      <c r="E366" s="82"/>
      <c r="F366" s="87"/>
      <c r="G366" s="82" t="str">
        <f t="shared" si="19"/>
        <v/>
      </c>
      <c r="H366" s="103">
        <f t="shared" si="18"/>
        <v>0</v>
      </c>
      <c r="I366" s="87"/>
      <c r="J366" s="87"/>
      <c r="K366" s="87"/>
      <c r="L366" s="46"/>
    </row>
    <row r="367" spans="1:12" x14ac:dyDescent="0.25">
      <c r="A367" s="2">
        <v>364</v>
      </c>
      <c r="B367" s="87"/>
      <c r="C367" s="87"/>
      <c r="D367" s="87"/>
      <c r="E367" s="82"/>
      <c r="F367" s="87"/>
      <c r="G367" s="82" t="str">
        <f t="shared" si="19"/>
        <v/>
      </c>
      <c r="H367" s="103">
        <f t="shared" si="18"/>
        <v>0</v>
      </c>
      <c r="I367" s="87"/>
      <c r="J367" s="87"/>
      <c r="K367" s="87"/>
      <c r="L367" s="46"/>
    </row>
    <row r="368" spans="1:12" x14ac:dyDescent="0.25">
      <c r="A368" s="2">
        <v>365</v>
      </c>
      <c r="B368" s="87"/>
      <c r="C368" s="87"/>
      <c r="D368" s="87"/>
      <c r="E368" s="82"/>
      <c r="F368" s="87"/>
      <c r="G368" s="82" t="str">
        <f t="shared" si="19"/>
        <v/>
      </c>
      <c r="H368" s="103">
        <f t="shared" si="18"/>
        <v>0</v>
      </c>
      <c r="I368" s="87"/>
      <c r="J368" s="87"/>
      <c r="K368" s="87"/>
      <c r="L368" s="46"/>
    </row>
    <row r="369" spans="1:12" x14ac:dyDescent="0.25">
      <c r="A369" s="2">
        <v>366</v>
      </c>
      <c r="B369" s="87"/>
      <c r="C369" s="87"/>
      <c r="D369" s="87"/>
      <c r="E369" s="82"/>
      <c r="F369" s="87"/>
      <c r="G369" s="82" t="str">
        <f t="shared" si="19"/>
        <v/>
      </c>
      <c r="H369" s="103">
        <f t="shared" si="18"/>
        <v>0</v>
      </c>
      <c r="I369" s="87"/>
      <c r="J369" s="87"/>
      <c r="K369" s="87"/>
      <c r="L369" s="46"/>
    </row>
    <row r="370" spans="1:12" x14ac:dyDescent="0.25">
      <c r="A370" s="2">
        <v>367</v>
      </c>
      <c r="B370" s="87"/>
      <c r="C370" s="87"/>
      <c r="D370" s="87"/>
      <c r="E370" s="82"/>
      <c r="F370" s="87"/>
      <c r="G370" s="82" t="str">
        <f t="shared" si="19"/>
        <v/>
      </c>
      <c r="H370" s="103">
        <f t="shared" si="18"/>
        <v>0</v>
      </c>
      <c r="I370" s="87"/>
      <c r="J370" s="87"/>
      <c r="K370" s="87"/>
      <c r="L370" s="46"/>
    </row>
    <row r="371" spans="1:12" x14ac:dyDescent="0.25">
      <c r="A371" s="2">
        <v>368</v>
      </c>
      <c r="B371" s="87"/>
      <c r="C371" s="87"/>
      <c r="D371" s="87"/>
      <c r="E371" s="82"/>
      <c r="F371" s="87"/>
      <c r="G371" s="82" t="str">
        <f t="shared" si="19"/>
        <v/>
      </c>
      <c r="H371" s="103">
        <f t="shared" si="18"/>
        <v>0</v>
      </c>
      <c r="I371" s="87"/>
      <c r="J371" s="87"/>
      <c r="K371" s="87"/>
      <c r="L371" s="46"/>
    </row>
    <row r="372" spans="1:12" x14ac:dyDescent="0.25">
      <c r="A372" s="2">
        <v>369</v>
      </c>
      <c r="B372" s="87"/>
      <c r="C372" s="87"/>
      <c r="D372" s="87"/>
      <c r="E372" s="82"/>
      <c r="F372" s="87"/>
      <c r="G372" s="82" t="str">
        <f t="shared" si="19"/>
        <v/>
      </c>
      <c r="H372" s="103">
        <f t="shared" si="18"/>
        <v>0</v>
      </c>
      <c r="I372" s="87"/>
      <c r="J372" s="87"/>
      <c r="K372" s="87"/>
      <c r="L372" s="46"/>
    </row>
    <row r="373" spans="1:12" x14ac:dyDescent="0.25">
      <c r="A373" s="2">
        <v>370</v>
      </c>
      <c r="B373" s="87"/>
      <c r="C373" s="87"/>
      <c r="D373" s="87"/>
      <c r="E373" s="82"/>
      <c r="F373" s="87"/>
      <c r="G373" s="82" t="str">
        <f t="shared" si="19"/>
        <v/>
      </c>
      <c r="H373" s="103">
        <f t="shared" si="18"/>
        <v>0</v>
      </c>
      <c r="I373" s="87"/>
      <c r="J373" s="87"/>
      <c r="K373" s="87"/>
      <c r="L373" s="46"/>
    </row>
    <row r="374" spans="1:12" x14ac:dyDescent="0.25">
      <c r="A374" s="2">
        <v>371</v>
      </c>
      <c r="B374" s="87"/>
      <c r="C374" s="87"/>
      <c r="D374" s="87"/>
      <c r="E374" s="82"/>
      <c r="F374" s="87"/>
      <c r="G374" s="82" t="str">
        <f t="shared" si="19"/>
        <v/>
      </c>
      <c r="H374" s="103">
        <f t="shared" si="18"/>
        <v>0</v>
      </c>
      <c r="I374" s="87"/>
      <c r="J374" s="87"/>
      <c r="K374" s="87"/>
      <c r="L374" s="46"/>
    </row>
    <row r="375" spans="1:12" x14ac:dyDescent="0.25">
      <c r="A375" s="2">
        <v>372</v>
      </c>
      <c r="B375" s="87"/>
      <c r="C375" s="87"/>
      <c r="D375" s="87"/>
      <c r="E375" s="82"/>
      <c r="F375" s="87"/>
      <c r="G375" s="82" t="str">
        <f t="shared" si="19"/>
        <v/>
      </c>
      <c r="H375" s="103">
        <f t="shared" si="18"/>
        <v>0</v>
      </c>
      <c r="I375" s="87"/>
      <c r="J375" s="87"/>
      <c r="K375" s="87"/>
      <c r="L375" s="46"/>
    </row>
    <row r="376" spans="1:12" x14ac:dyDescent="0.25">
      <c r="A376" s="2">
        <v>373</v>
      </c>
      <c r="B376" s="87"/>
      <c r="C376" s="87"/>
      <c r="D376" s="87"/>
      <c r="E376" s="82"/>
      <c r="F376" s="87"/>
      <c r="G376" s="82" t="str">
        <f t="shared" si="19"/>
        <v/>
      </c>
      <c r="H376" s="103">
        <f t="shared" si="18"/>
        <v>0</v>
      </c>
      <c r="I376" s="87"/>
      <c r="J376" s="87"/>
      <c r="K376" s="87"/>
      <c r="L376" s="46"/>
    </row>
    <row r="377" spans="1:12" x14ac:dyDescent="0.25">
      <c r="A377" s="2">
        <v>374</v>
      </c>
      <c r="B377" s="87"/>
      <c r="C377" s="87"/>
      <c r="D377" s="87"/>
      <c r="E377" s="82"/>
      <c r="F377" s="87"/>
      <c r="G377" s="82" t="str">
        <f t="shared" si="19"/>
        <v/>
      </c>
      <c r="H377" s="103">
        <f t="shared" si="18"/>
        <v>0</v>
      </c>
      <c r="I377" s="87"/>
      <c r="J377" s="87"/>
      <c r="K377" s="87"/>
      <c r="L377" s="46"/>
    </row>
    <row r="378" spans="1:12" x14ac:dyDescent="0.25">
      <c r="A378" s="2">
        <v>375</v>
      </c>
      <c r="B378" s="87"/>
      <c r="C378" s="87"/>
      <c r="D378" s="87"/>
      <c r="E378" s="82"/>
      <c r="F378" s="87"/>
      <c r="G378" s="82" t="str">
        <f t="shared" si="19"/>
        <v/>
      </c>
      <c r="H378" s="103">
        <f t="shared" si="18"/>
        <v>0</v>
      </c>
      <c r="I378" s="87"/>
      <c r="J378" s="87"/>
      <c r="K378" s="87"/>
      <c r="L378" s="46"/>
    </row>
    <row r="379" spans="1:12" x14ac:dyDescent="0.25">
      <c r="A379" s="2">
        <v>376</v>
      </c>
      <c r="B379" s="87"/>
      <c r="C379" s="87"/>
      <c r="D379" s="87"/>
      <c r="E379" s="82"/>
      <c r="F379" s="87"/>
      <c r="G379" s="82" t="str">
        <f t="shared" si="19"/>
        <v/>
      </c>
      <c r="H379" s="103">
        <f t="shared" si="18"/>
        <v>0</v>
      </c>
      <c r="I379" s="87"/>
      <c r="J379" s="87"/>
      <c r="K379" s="87"/>
      <c r="L379" s="46"/>
    </row>
    <row r="380" spans="1:12" x14ac:dyDescent="0.25">
      <c r="A380" s="2">
        <v>377</v>
      </c>
      <c r="B380" s="87"/>
      <c r="C380" s="87"/>
      <c r="D380" s="87"/>
      <c r="E380" s="82"/>
      <c r="F380" s="87"/>
      <c r="G380" s="82" t="str">
        <f t="shared" si="19"/>
        <v/>
      </c>
      <c r="H380" s="103">
        <f t="shared" si="18"/>
        <v>0</v>
      </c>
      <c r="I380" s="87"/>
      <c r="J380" s="87"/>
      <c r="K380" s="87"/>
      <c r="L380" s="46"/>
    </row>
    <row r="381" spans="1:12" x14ac:dyDescent="0.25">
      <c r="A381" s="2">
        <v>378</v>
      </c>
      <c r="B381" s="87"/>
      <c r="C381" s="87"/>
      <c r="D381" s="87"/>
      <c r="E381" s="82"/>
      <c r="F381" s="87"/>
      <c r="G381" s="82" t="str">
        <f t="shared" si="19"/>
        <v/>
      </c>
      <c r="H381" s="103">
        <f t="shared" si="18"/>
        <v>0</v>
      </c>
      <c r="I381" s="87"/>
      <c r="J381" s="87"/>
      <c r="K381" s="87"/>
      <c r="L381" s="46"/>
    </row>
    <row r="382" spans="1:12" x14ac:dyDescent="0.25">
      <c r="A382" s="2">
        <v>379</v>
      </c>
      <c r="B382" s="87"/>
      <c r="C382" s="87"/>
      <c r="D382" s="87"/>
      <c r="E382" s="82"/>
      <c r="F382" s="87"/>
      <c r="G382" s="82" t="str">
        <f t="shared" si="19"/>
        <v/>
      </c>
      <c r="H382" s="103">
        <f t="shared" si="18"/>
        <v>0</v>
      </c>
      <c r="I382" s="87"/>
      <c r="J382" s="87"/>
      <c r="K382" s="87"/>
    </row>
    <row r="383" spans="1:12" x14ac:dyDescent="0.25">
      <c r="A383" s="2">
        <v>380</v>
      </c>
      <c r="B383" s="87"/>
      <c r="C383" s="87"/>
      <c r="D383" s="87"/>
      <c r="E383" s="82"/>
      <c r="F383" s="87"/>
      <c r="G383" s="82" t="str">
        <f t="shared" si="19"/>
        <v/>
      </c>
      <c r="H383" s="103">
        <f t="shared" si="18"/>
        <v>0</v>
      </c>
      <c r="I383" s="87"/>
      <c r="J383" s="87"/>
      <c r="K383" s="87"/>
    </row>
    <row r="384" spans="1:12" x14ac:dyDescent="0.25">
      <c r="A384" s="2">
        <v>381</v>
      </c>
      <c r="B384" s="87"/>
      <c r="C384" s="87"/>
      <c r="D384" s="87"/>
      <c r="E384" s="82"/>
      <c r="F384" s="87"/>
      <c r="G384" s="82" t="str">
        <f t="shared" si="19"/>
        <v/>
      </c>
      <c r="H384" s="103">
        <f t="shared" ref="H384:H414" si="20">I384/8</f>
        <v>0</v>
      </c>
      <c r="I384" s="87"/>
      <c r="J384" s="87"/>
      <c r="K384" s="87"/>
    </row>
    <row r="385" spans="1:12" x14ac:dyDescent="0.25">
      <c r="A385" s="2">
        <v>382</v>
      </c>
      <c r="B385" s="87"/>
      <c r="C385" s="87"/>
      <c r="D385" s="87"/>
      <c r="E385" s="82"/>
      <c r="F385" s="87"/>
      <c r="G385" s="82" t="str">
        <f t="shared" si="19"/>
        <v/>
      </c>
      <c r="H385" s="103">
        <f t="shared" si="20"/>
        <v>0</v>
      </c>
      <c r="I385" s="87"/>
      <c r="J385" s="87"/>
      <c r="K385" s="87"/>
      <c r="L385" s="46"/>
    </row>
    <row r="386" spans="1:12" x14ac:dyDescent="0.25">
      <c r="A386" s="2">
        <v>383</v>
      </c>
      <c r="B386" s="87"/>
      <c r="C386" s="87"/>
      <c r="D386" s="87"/>
      <c r="E386" s="82"/>
      <c r="F386" s="87"/>
      <c r="G386" s="82" t="str">
        <f t="shared" si="19"/>
        <v/>
      </c>
      <c r="H386" s="103">
        <f t="shared" si="20"/>
        <v>0</v>
      </c>
      <c r="I386" s="87"/>
      <c r="J386" s="87"/>
      <c r="K386" s="87"/>
      <c r="L386" s="46"/>
    </row>
    <row r="387" spans="1:12" x14ac:dyDescent="0.25">
      <c r="A387" s="2">
        <v>384</v>
      </c>
      <c r="B387" s="87"/>
      <c r="C387" s="87"/>
      <c r="D387" s="87"/>
      <c r="E387" s="82"/>
      <c r="F387" s="87"/>
      <c r="G387" s="82" t="str">
        <f t="shared" si="19"/>
        <v/>
      </c>
      <c r="H387" s="103">
        <f t="shared" si="20"/>
        <v>0</v>
      </c>
      <c r="I387" s="87"/>
      <c r="J387" s="87"/>
      <c r="K387" s="87"/>
      <c r="L387" s="46"/>
    </row>
    <row r="388" spans="1:12" x14ac:dyDescent="0.25">
      <c r="A388" s="2">
        <v>385</v>
      </c>
      <c r="B388" s="87"/>
      <c r="C388" s="87"/>
      <c r="D388" s="87"/>
      <c r="E388" s="82"/>
      <c r="F388" s="87"/>
      <c r="G388" s="82" t="str">
        <f t="shared" si="19"/>
        <v/>
      </c>
      <c r="H388" s="103">
        <f t="shared" si="20"/>
        <v>0</v>
      </c>
      <c r="I388" s="87"/>
      <c r="J388" s="87"/>
      <c r="K388" s="87"/>
      <c r="L388" s="46"/>
    </row>
    <row r="389" spans="1:12" x14ac:dyDescent="0.25">
      <c r="A389" s="2">
        <v>386</v>
      </c>
      <c r="B389" s="87"/>
      <c r="C389" s="87"/>
      <c r="D389" s="87"/>
      <c r="E389" s="82"/>
      <c r="F389" s="87"/>
      <c r="G389" s="82" t="str">
        <f t="shared" si="19"/>
        <v/>
      </c>
      <c r="H389" s="87">
        <f t="shared" si="20"/>
        <v>0</v>
      </c>
      <c r="I389" s="87"/>
      <c r="J389" s="87"/>
      <c r="K389" s="87"/>
      <c r="L389" s="46"/>
    </row>
    <row r="390" spans="1:12" x14ac:dyDescent="0.25">
      <c r="A390" s="2">
        <v>387</v>
      </c>
      <c r="B390" s="87"/>
      <c r="C390" s="87"/>
      <c r="D390" s="87"/>
      <c r="E390" s="82"/>
      <c r="F390" s="87"/>
      <c r="G390" s="82" t="str">
        <f t="shared" si="19"/>
        <v/>
      </c>
      <c r="H390" s="87">
        <f t="shared" si="20"/>
        <v>0</v>
      </c>
      <c r="I390" s="87"/>
      <c r="J390" s="87"/>
      <c r="K390" s="87"/>
      <c r="L390" s="46"/>
    </row>
    <row r="391" spans="1:12" x14ac:dyDescent="0.25">
      <c r="A391" s="2">
        <v>388</v>
      </c>
      <c r="B391" s="87"/>
      <c r="C391" s="87"/>
      <c r="D391" s="87"/>
      <c r="E391" s="82"/>
      <c r="F391" s="87"/>
      <c r="G391" s="82" t="str">
        <f t="shared" si="19"/>
        <v/>
      </c>
      <c r="H391" s="87">
        <f t="shared" si="20"/>
        <v>0</v>
      </c>
      <c r="I391" s="87"/>
      <c r="J391" s="87"/>
      <c r="K391" s="87"/>
      <c r="L391" s="46"/>
    </row>
    <row r="392" spans="1:12" x14ac:dyDescent="0.25">
      <c r="A392" s="2">
        <v>389</v>
      </c>
      <c r="B392" s="87"/>
      <c r="C392" s="87"/>
      <c r="D392" s="87"/>
      <c r="E392" s="82"/>
      <c r="F392" s="87"/>
      <c r="G392" s="82" t="str">
        <f t="shared" si="19"/>
        <v/>
      </c>
      <c r="H392" s="87">
        <f t="shared" si="20"/>
        <v>0</v>
      </c>
      <c r="I392" s="87"/>
      <c r="J392" s="87"/>
      <c r="K392" s="87"/>
      <c r="L392" s="46"/>
    </row>
    <row r="393" spans="1:12" x14ac:dyDescent="0.25">
      <c r="A393" s="2">
        <v>390</v>
      </c>
      <c r="B393" s="87"/>
      <c r="C393" s="87"/>
      <c r="D393" s="87"/>
      <c r="E393" s="82"/>
      <c r="F393" s="87"/>
      <c r="G393" s="82" t="str">
        <f t="shared" si="19"/>
        <v/>
      </c>
      <c r="H393" s="87">
        <f t="shared" si="20"/>
        <v>0</v>
      </c>
      <c r="I393" s="87"/>
      <c r="J393" s="87"/>
      <c r="K393" s="87"/>
      <c r="L393" s="46"/>
    </row>
    <row r="394" spans="1:12" x14ac:dyDescent="0.25">
      <c r="A394" s="2">
        <v>391</v>
      </c>
      <c r="B394" s="87"/>
      <c r="C394" s="87"/>
      <c r="D394" s="87"/>
      <c r="E394" s="82"/>
      <c r="F394" s="87"/>
      <c r="G394" s="82" t="str">
        <f t="shared" si="19"/>
        <v/>
      </c>
      <c r="H394" s="87">
        <f t="shared" si="20"/>
        <v>0</v>
      </c>
      <c r="I394" s="87"/>
      <c r="J394" s="87"/>
      <c r="K394" s="87"/>
    </row>
    <row r="395" spans="1:12" x14ac:dyDescent="0.25">
      <c r="A395" s="2">
        <v>392</v>
      </c>
      <c r="B395" s="87"/>
      <c r="C395" s="87"/>
      <c r="D395" s="87"/>
      <c r="E395" s="82"/>
      <c r="F395" s="87"/>
      <c r="G395" s="82" t="str">
        <f t="shared" si="19"/>
        <v/>
      </c>
      <c r="H395" s="87">
        <f t="shared" si="20"/>
        <v>0</v>
      </c>
      <c r="I395" s="87"/>
      <c r="J395" s="87"/>
      <c r="K395" s="87"/>
    </row>
    <row r="396" spans="1:12" x14ac:dyDescent="0.25">
      <c r="A396" s="2">
        <v>393</v>
      </c>
      <c r="B396" s="87"/>
      <c r="C396" s="87"/>
      <c r="D396" s="87"/>
      <c r="E396" s="82"/>
      <c r="F396" s="87"/>
      <c r="G396" s="82" t="str">
        <f t="shared" si="19"/>
        <v/>
      </c>
      <c r="H396" s="87">
        <f t="shared" si="20"/>
        <v>0</v>
      </c>
      <c r="I396" s="87"/>
      <c r="J396" s="87"/>
      <c r="K396" s="87"/>
    </row>
    <row r="397" spans="1:12" x14ac:dyDescent="0.25">
      <c r="A397" s="2">
        <v>394</v>
      </c>
      <c r="B397" s="87"/>
      <c r="C397" s="87"/>
      <c r="D397" s="87"/>
      <c r="E397" s="82"/>
      <c r="F397" s="87"/>
      <c r="G397" s="82" t="str">
        <f t="shared" si="19"/>
        <v/>
      </c>
      <c r="H397" s="87">
        <f t="shared" si="20"/>
        <v>0</v>
      </c>
      <c r="I397" s="87"/>
      <c r="J397" s="87"/>
      <c r="K397" s="87"/>
    </row>
    <row r="398" spans="1:12" x14ac:dyDescent="0.25">
      <c r="A398" s="2">
        <v>395</v>
      </c>
      <c r="B398" s="87"/>
      <c r="C398" s="87"/>
      <c r="D398" s="87"/>
      <c r="E398" s="82"/>
      <c r="F398" s="87"/>
      <c r="G398" s="82" t="str">
        <f t="shared" si="19"/>
        <v/>
      </c>
      <c r="H398" s="87">
        <f t="shared" si="20"/>
        <v>0</v>
      </c>
      <c r="I398" s="87"/>
      <c r="J398" s="87"/>
      <c r="K398" s="87"/>
    </row>
    <row r="399" spans="1:12" x14ac:dyDescent="0.25">
      <c r="A399" s="2">
        <v>396</v>
      </c>
      <c r="B399" s="87"/>
      <c r="C399" s="87"/>
      <c r="D399" s="87"/>
      <c r="E399" s="82"/>
      <c r="F399" s="87"/>
      <c r="G399" s="82" t="str">
        <f t="shared" si="19"/>
        <v/>
      </c>
      <c r="H399" s="87">
        <f t="shared" si="20"/>
        <v>0</v>
      </c>
      <c r="I399" s="87"/>
      <c r="J399" s="87"/>
      <c r="K399" s="87"/>
    </row>
    <row r="400" spans="1:12" x14ac:dyDescent="0.25">
      <c r="A400" s="2">
        <v>397</v>
      </c>
      <c r="B400" s="87"/>
      <c r="C400" s="87"/>
      <c r="D400" s="87"/>
      <c r="E400" s="82"/>
      <c r="F400" s="87"/>
      <c r="G400" s="82" t="str">
        <f t="shared" si="19"/>
        <v/>
      </c>
      <c r="H400" s="87">
        <f t="shared" si="20"/>
        <v>0</v>
      </c>
      <c r="I400" s="87"/>
      <c r="J400" s="87"/>
      <c r="K400" s="87"/>
    </row>
    <row r="401" spans="1:11" x14ac:dyDescent="0.25">
      <c r="A401" s="2">
        <v>398</v>
      </c>
      <c r="B401" s="87"/>
      <c r="C401" s="87"/>
      <c r="D401" s="87"/>
      <c r="E401" s="82"/>
      <c r="F401" s="87"/>
      <c r="G401" s="82" t="str">
        <f t="shared" si="19"/>
        <v/>
      </c>
      <c r="H401" s="87">
        <f t="shared" si="20"/>
        <v>0</v>
      </c>
      <c r="I401" s="87"/>
      <c r="J401" s="87"/>
      <c r="K401" s="87"/>
    </row>
    <row r="402" spans="1:11" x14ac:dyDescent="0.25">
      <c r="A402" s="2">
        <v>399</v>
      </c>
      <c r="B402" s="87"/>
      <c r="C402" s="87"/>
      <c r="D402" s="87"/>
      <c r="E402" s="82"/>
      <c r="F402" s="87"/>
      <c r="G402" s="82" t="str">
        <f t="shared" si="19"/>
        <v/>
      </c>
      <c r="H402" s="87">
        <f t="shared" si="20"/>
        <v>0</v>
      </c>
      <c r="I402" s="87"/>
      <c r="J402" s="87"/>
      <c r="K402" s="87"/>
    </row>
    <row r="403" spans="1:11" x14ac:dyDescent="0.25">
      <c r="A403" s="2">
        <v>400</v>
      </c>
      <c r="B403" s="87"/>
      <c r="C403" s="87"/>
      <c r="D403" s="87"/>
      <c r="E403" s="82"/>
      <c r="F403" s="87"/>
      <c r="G403" s="82"/>
      <c r="H403" s="87">
        <f t="shared" si="20"/>
        <v>0</v>
      </c>
      <c r="I403" s="87"/>
      <c r="J403" s="87"/>
      <c r="K403" s="87"/>
    </row>
    <row r="404" spans="1:11" x14ac:dyDescent="0.25">
      <c r="A404" s="2">
        <v>401</v>
      </c>
      <c r="B404" s="87"/>
      <c r="C404" s="87"/>
      <c r="D404" s="87"/>
      <c r="E404" s="82"/>
      <c r="F404" s="87"/>
      <c r="G404" s="82"/>
      <c r="H404" s="87">
        <f t="shared" si="20"/>
        <v>0</v>
      </c>
      <c r="I404" s="87"/>
      <c r="J404" s="87"/>
      <c r="K404" s="87"/>
    </row>
    <row r="405" spans="1:11" x14ac:dyDescent="0.25">
      <c r="A405" s="2">
        <v>402</v>
      </c>
      <c r="B405" s="87"/>
      <c r="C405" s="87"/>
      <c r="D405" s="87"/>
      <c r="E405" s="82"/>
      <c r="F405" s="87"/>
      <c r="G405" s="82"/>
      <c r="H405" s="87">
        <f t="shared" si="20"/>
        <v>0</v>
      </c>
      <c r="I405" s="87"/>
      <c r="J405" s="87"/>
      <c r="K405" s="87"/>
    </row>
    <row r="406" spans="1:11" x14ac:dyDescent="0.25">
      <c r="A406" s="2">
        <v>403</v>
      </c>
      <c r="B406" s="87"/>
      <c r="C406" s="87"/>
      <c r="D406" s="87"/>
      <c r="E406" s="82"/>
      <c r="F406" s="87"/>
      <c r="G406" s="82"/>
      <c r="H406" s="87">
        <f t="shared" si="20"/>
        <v>0</v>
      </c>
      <c r="I406" s="87"/>
      <c r="J406" s="87"/>
      <c r="K406" s="87"/>
    </row>
    <row r="407" spans="1:11" x14ac:dyDescent="0.25">
      <c r="A407" s="2">
        <v>404</v>
      </c>
      <c r="B407" s="87"/>
      <c r="C407" s="87"/>
      <c r="D407" s="87"/>
      <c r="E407" s="82"/>
      <c r="F407" s="87"/>
      <c r="G407" s="82"/>
      <c r="H407" s="87">
        <f t="shared" si="20"/>
        <v>0</v>
      </c>
      <c r="I407" s="87"/>
      <c r="J407" s="87"/>
      <c r="K407" s="87"/>
    </row>
    <row r="408" spans="1:11" x14ac:dyDescent="0.25">
      <c r="A408" s="2">
        <v>405</v>
      </c>
      <c r="B408" s="87"/>
      <c r="C408" s="87"/>
      <c r="D408" s="87"/>
      <c r="E408" s="82"/>
      <c r="F408" s="87"/>
      <c r="G408" s="82"/>
      <c r="H408" s="87">
        <f t="shared" si="20"/>
        <v>0</v>
      </c>
      <c r="I408" s="87"/>
      <c r="J408" s="87"/>
      <c r="K408" s="87"/>
    </row>
    <row r="409" spans="1:11" x14ac:dyDescent="0.25">
      <c r="A409" s="2">
        <v>406</v>
      </c>
      <c r="B409" s="87"/>
      <c r="C409" s="87"/>
      <c r="D409" s="87"/>
      <c r="E409" s="82"/>
      <c r="F409" s="87"/>
      <c r="G409" s="82"/>
      <c r="H409" s="87">
        <f t="shared" si="20"/>
        <v>0</v>
      </c>
      <c r="I409" s="87"/>
      <c r="J409" s="87"/>
      <c r="K409" s="87"/>
    </row>
    <row r="410" spans="1:11" x14ac:dyDescent="0.25">
      <c r="A410" s="2">
        <v>407</v>
      </c>
      <c r="B410" s="87"/>
      <c r="C410" s="87"/>
      <c r="D410" s="87"/>
      <c r="E410" s="82"/>
      <c r="F410" s="87"/>
      <c r="G410" s="82"/>
      <c r="H410" s="87">
        <f t="shared" si="20"/>
        <v>0</v>
      </c>
      <c r="I410" s="87"/>
      <c r="J410" s="87"/>
      <c r="K410" s="87"/>
    </row>
    <row r="411" spans="1:11" x14ac:dyDescent="0.25">
      <c r="A411" s="2">
        <v>408</v>
      </c>
      <c r="B411" s="87"/>
      <c r="C411" s="87"/>
      <c r="D411" s="87"/>
      <c r="E411" s="82"/>
      <c r="F411" s="87"/>
      <c r="G411" s="82"/>
      <c r="H411" s="87">
        <f t="shared" si="20"/>
        <v>0</v>
      </c>
      <c r="I411" s="87"/>
      <c r="J411" s="87"/>
      <c r="K411" s="87"/>
    </row>
    <row r="412" spans="1:11" x14ac:dyDescent="0.25">
      <c r="A412" s="2">
        <v>409</v>
      </c>
      <c r="B412" s="87"/>
      <c r="C412" s="87"/>
      <c r="D412" s="87"/>
      <c r="E412" s="82"/>
      <c r="F412" s="87"/>
      <c r="G412" s="82"/>
      <c r="H412" s="87">
        <f t="shared" si="20"/>
        <v>0</v>
      </c>
      <c r="I412" s="87"/>
      <c r="J412" s="87"/>
      <c r="K412" s="87"/>
    </row>
    <row r="413" spans="1:11" x14ac:dyDescent="0.25">
      <c r="A413" s="2">
        <v>410</v>
      </c>
      <c r="B413" s="87"/>
      <c r="C413" s="87"/>
      <c r="D413" s="87"/>
      <c r="E413" s="82"/>
      <c r="F413" s="87"/>
      <c r="G413" s="82"/>
      <c r="H413" s="87">
        <f t="shared" si="20"/>
        <v>0</v>
      </c>
      <c r="I413" s="87"/>
      <c r="J413" s="87"/>
      <c r="K413" s="87"/>
    </row>
    <row r="414" spans="1:11" x14ac:dyDescent="0.25">
      <c r="A414" s="2">
        <v>411</v>
      </c>
      <c r="B414" s="87"/>
      <c r="C414" s="87"/>
      <c r="D414" s="87"/>
      <c r="E414" s="82"/>
      <c r="F414" s="87"/>
      <c r="G414" s="82"/>
      <c r="H414" s="87">
        <f t="shared" si="20"/>
        <v>0</v>
      </c>
      <c r="I414" s="87"/>
      <c r="J414" s="87"/>
      <c r="K414" s="87"/>
    </row>
  </sheetData>
  <autoFilter ref="A3:P414" xr:uid="{00000000-0009-0000-0000-000002000000}"/>
  <mergeCells count="1">
    <mergeCell ref="B2:K2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14"/>
  <sheetViews>
    <sheetView zoomScale="70" zoomScaleNormal="70" workbookViewId="0">
      <selection activeCell="E100" sqref="E100"/>
    </sheetView>
  </sheetViews>
  <sheetFormatPr baseColWidth="10" defaultColWidth="11.42578125" defaultRowHeight="15" x14ac:dyDescent="0.25"/>
  <cols>
    <col min="1" max="1" width="11.85546875" style="2" customWidth="1"/>
    <col min="2" max="3" width="22.42578125" style="2" customWidth="1"/>
    <col min="4" max="4" width="14" style="2" customWidth="1"/>
    <col min="5" max="5" width="40.5703125" style="42" bestFit="1" customWidth="1"/>
    <col min="6" max="6" width="16.7109375" style="2" customWidth="1"/>
    <col min="7" max="7" width="77.140625" style="2" hidden="1" customWidth="1"/>
    <col min="8" max="13" width="14" style="2" customWidth="1"/>
    <col min="14" max="14" width="24.28515625" style="2" customWidth="1"/>
    <col min="15" max="15" width="12.5703125" style="2" customWidth="1"/>
    <col min="16" max="16384" width="11.42578125" style="2"/>
  </cols>
  <sheetData>
    <row r="2" spans="1:11" x14ac:dyDescent="0.25">
      <c r="A2" s="2" t="s">
        <v>95</v>
      </c>
      <c r="B2" s="141" t="s">
        <v>1</v>
      </c>
      <c r="C2" s="142"/>
      <c r="D2" s="142"/>
      <c r="E2" s="142"/>
      <c r="F2" s="142"/>
      <c r="G2" s="142"/>
      <c r="H2" s="142"/>
      <c r="I2" s="142"/>
      <c r="J2" s="142"/>
      <c r="K2" s="143"/>
    </row>
    <row r="3" spans="1:11" ht="60" x14ac:dyDescent="0.25">
      <c r="A3" s="2">
        <f>COUNT(A4:A175)/4</f>
        <v>43</v>
      </c>
      <c r="B3" s="69" t="s">
        <v>62</v>
      </c>
      <c r="C3" s="69" t="s">
        <v>16</v>
      </c>
      <c r="D3" s="69" t="s">
        <v>20</v>
      </c>
      <c r="E3" s="69" t="s">
        <v>23</v>
      </c>
      <c r="F3" s="69" t="s">
        <v>0</v>
      </c>
      <c r="G3" s="69" t="s">
        <v>25</v>
      </c>
      <c r="H3" s="69" t="s">
        <v>8</v>
      </c>
      <c r="I3" s="69" t="s">
        <v>58</v>
      </c>
      <c r="J3" s="70"/>
      <c r="K3" s="70" t="s">
        <v>11</v>
      </c>
    </row>
    <row r="4" spans="1:11" x14ac:dyDescent="0.25">
      <c r="A4" s="2">
        <v>1</v>
      </c>
      <c r="B4" s="99" t="s">
        <v>36</v>
      </c>
      <c r="C4" s="99" t="s">
        <v>21</v>
      </c>
      <c r="D4" s="99" t="s">
        <v>32</v>
      </c>
      <c r="E4" s="100" t="s">
        <v>97</v>
      </c>
      <c r="F4" s="99" t="s">
        <v>105</v>
      </c>
      <c r="G4" s="100" t="str">
        <f t="shared" ref="G4:G167" si="0">CONCATENATE(B4,C4,D4,E4,F4)</f>
        <v>ModificaciónDTCoreAnalisis Codigo AnteriorTrivial</v>
      </c>
      <c r="H4" s="99">
        <f t="shared" ref="H4:H100" si="1">I4/8</f>
        <v>3.125E-2</v>
      </c>
      <c r="I4" s="99">
        <v>0.25</v>
      </c>
      <c r="J4" s="99"/>
      <c r="K4" s="99"/>
    </row>
    <row r="5" spans="1:11" x14ac:dyDescent="0.25">
      <c r="A5" s="2">
        <v>2</v>
      </c>
      <c r="B5" s="99" t="s">
        <v>36</v>
      </c>
      <c r="C5" s="99" t="s">
        <v>21</v>
      </c>
      <c r="D5" s="99" t="s">
        <v>32</v>
      </c>
      <c r="E5" s="100" t="s">
        <v>97</v>
      </c>
      <c r="F5" s="99" t="s">
        <v>39</v>
      </c>
      <c r="G5" s="100" t="str">
        <f t="shared" ref="G5" si="2">CONCATENATE(B5,C5,D5,E5,F5)</f>
        <v>ModificaciónDTCoreAnalisis Codigo AnteriorBaja</v>
      </c>
      <c r="H5" s="99">
        <f t="shared" ref="H5" si="3">I5/8</f>
        <v>0.625</v>
      </c>
      <c r="I5" s="99">
        <v>5</v>
      </c>
      <c r="J5" s="99"/>
      <c r="K5" s="99"/>
    </row>
    <row r="6" spans="1:11" x14ac:dyDescent="0.25">
      <c r="A6" s="2">
        <v>3</v>
      </c>
      <c r="B6" s="99" t="s">
        <v>36</v>
      </c>
      <c r="C6" s="99" t="s">
        <v>21</v>
      </c>
      <c r="D6" s="99" t="s">
        <v>32</v>
      </c>
      <c r="E6" s="100" t="s">
        <v>97</v>
      </c>
      <c r="F6" s="99" t="s">
        <v>38</v>
      </c>
      <c r="G6" s="100" t="str">
        <f t="shared" si="0"/>
        <v>ModificaciónDTCoreAnalisis Codigo AnteriorMedia</v>
      </c>
      <c r="H6" s="99">
        <f t="shared" si="1"/>
        <v>1</v>
      </c>
      <c r="I6" s="99">
        <v>8</v>
      </c>
      <c r="J6" s="99"/>
      <c r="K6" s="99"/>
    </row>
    <row r="7" spans="1:11" x14ac:dyDescent="0.25">
      <c r="A7" s="2">
        <v>4</v>
      </c>
      <c r="B7" s="99" t="s">
        <v>36</v>
      </c>
      <c r="C7" s="99" t="s">
        <v>21</v>
      </c>
      <c r="D7" s="99" t="s">
        <v>32</v>
      </c>
      <c r="E7" s="100" t="s">
        <v>97</v>
      </c>
      <c r="F7" s="99" t="s">
        <v>37</v>
      </c>
      <c r="G7" s="100" t="str">
        <f t="shared" si="0"/>
        <v>ModificaciónDTCoreAnalisis Codigo AnteriorAlta</v>
      </c>
      <c r="H7" s="99">
        <f t="shared" si="1"/>
        <v>1.875</v>
      </c>
      <c r="I7" s="99">
        <v>15</v>
      </c>
      <c r="J7" s="99"/>
      <c r="K7" s="99"/>
    </row>
    <row r="8" spans="1:11" x14ac:dyDescent="0.25">
      <c r="A8" s="2">
        <v>5</v>
      </c>
      <c r="B8" s="101" t="s">
        <v>36</v>
      </c>
      <c r="C8" s="101" t="s">
        <v>21</v>
      </c>
      <c r="D8" s="101" t="s">
        <v>32</v>
      </c>
      <c r="E8" s="102" t="s">
        <v>76</v>
      </c>
      <c r="F8" s="101" t="s">
        <v>105</v>
      </c>
      <c r="G8" s="102" t="str">
        <f t="shared" si="0"/>
        <v>ModificaciónDTCoreAnalisis FuncionalTrivial</v>
      </c>
      <c r="H8" s="101">
        <f t="shared" si="1"/>
        <v>3.125E-2</v>
      </c>
      <c r="I8" s="101">
        <v>0.25</v>
      </c>
      <c r="J8" s="101"/>
      <c r="K8" s="101"/>
    </row>
    <row r="9" spans="1:11" x14ac:dyDescent="0.25">
      <c r="A9" s="2">
        <v>6</v>
      </c>
      <c r="B9" s="101" t="s">
        <v>36</v>
      </c>
      <c r="C9" s="101" t="s">
        <v>21</v>
      </c>
      <c r="D9" s="101" t="s">
        <v>32</v>
      </c>
      <c r="E9" s="102" t="s">
        <v>76</v>
      </c>
      <c r="F9" s="101" t="s">
        <v>39</v>
      </c>
      <c r="G9" s="102" t="str">
        <f t="shared" ref="G9" si="4">CONCATENATE(B9,C9,D9,E9,F9)</f>
        <v>ModificaciónDTCoreAnalisis FuncionalBaja</v>
      </c>
      <c r="H9" s="101">
        <f t="shared" ref="H9" si="5">I9/8</f>
        <v>0.25</v>
      </c>
      <c r="I9" s="101">
        <v>2</v>
      </c>
      <c r="J9" s="101"/>
      <c r="K9" s="101"/>
    </row>
    <row r="10" spans="1:11" x14ac:dyDescent="0.25">
      <c r="A10" s="2">
        <v>7</v>
      </c>
      <c r="B10" s="101" t="s">
        <v>36</v>
      </c>
      <c r="C10" s="101" t="s">
        <v>21</v>
      </c>
      <c r="D10" s="101" t="s">
        <v>32</v>
      </c>
      <c r="E10" s="102" t="s">
        <v>76</v>
      </c>
      <c r="F10" s="101" t="s">
        <v>38</v>
      </c>
      <c r="G10" s="102" t="str">
        <f t="shared" si="0"/>
        <v>ModificaciónDTCoreAnalisis FuncionalMedia</v>
      </c>
      <c r="H10" s="101">
        <f t="shared" si="1"/>
        <v>0.375</v>
      </c>
      <c r="I10" s="101">
        <v>3</v>
      </c>
      <c r="J10" s="101"/>
      <c r="K10" s="101"/>
    </row>
    <row r="11" spans="1:11" x14ac:dyDescent="0.25">
      <c r="A11" s="2">
        <v>8</v>
      </c>
      <c r="B11" s="101" t="s">
        <v>36</v>
      </c>
      <c r="C11" s="101" t="s">
        <v>21</v>
      </c>
      <c r="D11" s="101" t="s">
        <v>32</v>
      </c>
      <c r="E11" s="102" t="s">
        <v>76</v>
      </c>
      <c r="F11" s="101" t="s">
        <v>37</v>
      </c>
      <c r="G11" s="102" t="str">
        <f t="shared" si="0"/>
        <v>ModificaciónDTCoreAnalisis FuncionalAlta</v>
      </c>
      <c r="H11" s="101">
        <f t="shared" si="1"/>
        <v>0.625</v>
      </c>
      <c r="I11" s="101">
        <v>5</v>
      </c>
      <c r="J11" s="101"/>
      <c r="K11" s="101"/>
    </row>
    <row r="12" spans="1:11" x14ac:dyDescent="0.25">
      <c r="A12" s="2">
        <v>9</v>
      </c>
      <c r="B12" s="99" t="s">
        <v>36</v>
      </c>
      <c r="C12" s="99" t="s">
        <v>21</v>
      </c>
      <c r="D12" s="99" t="s">
        <v>32</v>
      </c>
      <c r="E12" s="100" t="s">
        <v>74</v>
      </c>
      <c r="F12" s="99" t="s">
        <v>105</v>
      </c>
      <c r="G12" s="100" t="str">
        <f t="shared" si="0"/>
        <v>ModificaciónDTCoreDocumentacion Funcional ServicioTrivial</v>
      </c>
      <c r="H12" s="99">
        <f t="shared" si="1"/>
        <v>3.125E-2</v>
      </c>
      <c r="I12" s="99">
        <v>0.25</v>
      </c>
      <c r="J12" s="99"/>
      <c r="K12" s="99"/>
    </row>
    <row r="13" spans="1:11" x14ac:dyDescent="0.25">
      <c r="A13" s="2">
        <v>10</v>
      </c>
      <c r="B13" s="99" t="s">
        <v>36</v>
      </c>
      <c r="C13" s="99" t="s">
        <v>21</v>
      </c>
      <c r="D13" s="99" t="s">
        <v>32</v>
      </c>
      <c r="E13" s="100" t="s">
        <v>74</v>
      </c>
      <c r="F13" s="99" t="s">
        <v>39</v>
      </c>
      <c r="G13" s="100" t="str">
        <f t="shared" ref="G13" si="6">CONCATENATE(B13,C13,D13,E13,F13)</f>
        <v>ModificaciónDTCoreDocumentacion Funcional ServicioBaja</v>
      </c>
      <c r="H13" s="99">
        <f t="shared" ref="H13" si="7">I13/8</f>
        <v>0.125</v>
      </c>
      <c r="I13" s="99">
        <v>1</v>
      </c>
      <c r="J13" s="99"/>
      <c r="K13" s="99"/>
    </row>
    <row r="14" spans="1:11" x14ac:dyDescent="0.25">
      <c r="A14" s="2">
        <v>11</v>
      </c>
      <c r="B14" s="99" t="s">
        <v>36</v>
      </c>
      <c r="C14" s="99" t="s">
        <v>21</v>
      </c>
      <c r="D14" s="99" t="s">
        <v>32</v>
      </c>
      <c r="E14" s="100" t="s">
        <v>74</v>
      </c>
      <c r="F14" s="99" t="s">
        <v>38</v>
      </c>
      <c r="G14" s="100" t="str">
        <f t="shared" si="0"/>
        <v>ModificaciónDTCoreDocumentacion Funcional ServicioMedia</v>
      </c>
      <c r="H14" s="99">
        <f t="shared" si="1"/>
        <v>0.25</v>
      </c>
      <c r="I14" s="99">
        <v>2</v>
      </c>
      <c r="J14" s="99"/>
      <c r="K14" s="99"/>
    </row>
    <row r="15" spans="1:11" x14ac:dyDescent="0.25">
      <c r="A15" s="2">
        <v>12</v>
      </c>
      <c r="B15" s="99" t="s">
        <v>36</v>
      </c>
      <c r="C15" s="99" t="s">
        <v>21</v>
      </c>
      <c r="D15" s="99" t="s">
        <v>32</v>
      </c>
      <c r="E15" s="100" t="s">
        <v>74</v>
      </c>
      <c r="F15" s="99" t="s">
        <v>37</v>
      </c>
      <c r="G15" s="100" t="str">
        <f t="shared" si="0"/>
        <v>ModificaciónDTCoreDocumentacion Funcional ServicioAlta</v>
      </c>
      <c r="H15" s="99">
        <f t="shared" si="1"/>
        <v>0.25</v>
      </c>
      <c r="I15" s="99">
        <v>2</v>
      </c>
      <c r="J15" s="99"/>
      <c r="K15" s="99"/>
    </row>
    <row r="16" spans="1:11" x14ac:dyDescent="0.25">
      <c r="A16" s="2">
        <v>13</v>
      </c>
      <c r="B16" s="101" t="s">
        <v>36</v>
      </c>
      <c r="C16" s="101" t="s">
        <v>21</v>
      </c>
      <c r="D16" s="101" t="s">
        <v>32</v>
      </c>
      <c r="E16" s="102" t="s">
        <v>75</v>
      </c>
      <c r="F16" s="101" t="s">
        <v>105</v>
      </c>
      <c r="G16" s="102" t="str">
        <f t="shared" si="0"/>
        <v>ModificaciónDTCoreDocumentacion Funcional BatchTrivial</v>
      </c>
      <c r="H16" s="101">
        <f t="shared" si="1"/>
        <v>3.125E-2</v>
      </c>
      <c r="I16" s="101">
        <v>0.25</v>
      </c>
      <c r="J16" s="101"/>
      <c r="K16" s="101"/>
    </row>
    <row r="17" spans="1:11" x14ac:dyDescent="0.25">
      <c r="A17" s="2">
        <v>14</v>
      </c>
      <c r="B17" s="101" t="s">
        <v>36</v>
      </c>
      <c r="C17" s="101" t="s">
        <v>21</v>
      </c>
      <c r="D17" s="101" t="s">
        <v>32</v>
      </c>
      <c r="E17" s="102" t="s">
        <v>75</v>
      </c>
      <c r="F17" s="101" t="s">
        <v>39</v>
      </c>
      <c r="G17" s="102" t="str">
        <f t="shared" ref="G17" si="8">CONCATENATE(B17,C17,D17,E17,F17)</f>
        <v>ModificaciónDTCoreDocumentacion Funcional BatchBaja</v>
      </c>
      <c r="H17" s="101">
        <f t="shared" ref="H17" si="9">I17/8</f>
        <v>0.125</v>
      </c>
      <c r="I17" s="101">
        <v>1</v>
      </c>
      <c r="J17" s="101"/>
      <c r="K17" s="101"/>
    </row>
    <row r="18" spans="1:11" x14ac:dyDescent="0.25">
      <c r="A18" s="2">
        <v>15</v>
      </c>
      <c r="B18" s="101" t="s">
        <v>36</v>
      </c>
      <c r="C18" s="101" t="s">
        <v>21</v>
      </c>
      <c r="D18" s="101" t="s">
        <v>32</v>
      </c>
      <c r="E18" s="102" t="s">
        <v>75</v>
      </c>
      <c r="F18" s="101" t="s">
        <v>38</v>
      </c>
      <c r="G18" s="102" t="str">
        <f t="shared" si="0"/>
        <v>ModificaciónDTCoreDocumentacion Funcional BatchMedia</v>
      </c>
      <c r="H18" s="101">
        <f t="shared" si="1"/>
        <v>0.25</v>
      </c>
      <c r="I18" s="101">
        <v>2</v>
      </c>
      <c r="J18" s="101"/>
      <c r="K18" s="101"/>
    </row>
    <row r="19" spans="1:11" x14ac:dyDescent="0.25">
      <c r="A19" s="2">
        <v>16</v>
      </c>
      <c r="B19" s="101" t="s">
        <v>36</v>
      </c>
      <c r="C19" s="101" t="s">
        <v>21</v>
      </c>
      <c r="D19" s="101" t="s">
        <v>32</v>
      </c>
      <c r="E19" s="102" t="s">
        <v>75</v>
      </c>
      <c r="F19" s="101" t="s">
        <v>37</v>
      </c>
      <c r="G19" s="102" t="str">
        <f t="shared" si="0"/>
        <v>ModificaciónDTCoreDocumentacion Funcional BatchAlta</v>
      </c>
      <c r="H19" s="101">
        <f t="shared" si="1"/>
        <v>0.25</v>
      </c>
      <c r="I19" s="101">
        <v>2</v>
      </c>
      <c r="J19" s="101"/>
      <c r="K19" s="101"/>
    </row>
    <row r="20" spans="1:11" x14ac:dyDescent="0.25">
      <c r="A20" s="2">
        <v>17</v>
      </c>
      <c r="B20" s="99" t="s">
        <v>36</v>
      </c>
      <c r="C20" s="99" t="s">
        <v>21</v>
      </c>
      <c r="D20" s="99" t="s">
        <v>32</v>
      </c>
      <c r="E20" s="100" t="s">
        <v>88</v>
      </c>
      <c r="F20" s="99" t="s">
        <v>105</v>
      </c>
      <c r="G20" s="100" t="str">
        <f t="shared" si="0"/>
        <v>ModificaciónDTCoreDocumentacion codigoTrivial</v>
      </c>
      <c r="H20" s="99">
        <f t="shared" si="1"/>
        <v>3.125E-2</v>
      </c>
      <c r="I20" s="99">
        <v>0.25</v>
      </c>
      <c r="J20" s="99"/>
      <c r="K20" s="99"/>
    </row>
    <row r="21" spans="1:11" x14ac:dyDescent="0.25">
      <c r="A21" s="2">
        <v>18</v>
      </c>
      <c r="B21" s="99" t="s">
        <v>36</v>
      </c>
      <c r="C21" s="99" t="s">
        <v>21</v>
      </c>
      <c r="D21" s="99" t="s">
        <v>32</v>
      </c>
      <c r="E21" s="100" t="s">
        <v>88</v>
      </c>
      <c r="F21" s="99" t="s">
        <v>39</v>
      </c>
      <c r="G21" s="100" t="str">
        <f t="shared" ref="G21" si="10">CONCATENATE(B21,C21,D21,E21,F21)</f>
        <v>ModificaciónDTCoreDocumentacion codigoBaja</v>
      </c>
      <c r="H21" s="99">
        <f t="shared" ref="H21" si="11">I21/8</f>
        <v>0.25</v>
      </c>
      <c r="I21" s="99">
        <v>2</v>
      </c>
      <c r="J21" s="99"/>
      <c r="K21" s="99"/>
    </row>
    <row r="22" spans="1:11" x14ac:dyDescent="0.25">
      <c r="A22" s="2">
        <v>19</v>
      </c>
      <c r="B22" s="99" t="s">
        <v>36</v>
      </c>
      <c r="C22" s="99" t="s">
        <v>21</v>
      </c>
      <c r="D22" s="99" t="s">
        <v>32</v>
      </c>
      <c r="E22" s="100" t="s">
        <v>88</v>
      </c>
      <c r="F22" s="99" t="s">
        <v>38</v>
      </c>
      <c r="G22" s="100" t="str">
        <f t="shared" si="0"/>
        <v>ModificaciónDTCoreDocumentacion codigoMedia</v>
      </c>
      <c r="H22" s="99">
        <f t="shared" si="1"/>
        <v>0.5</v>
      </c>
      <c r="I22" s="99">
        <v>4</v>
      </c>
      <c r="J22" s="99"/>
      <c r="K22" s="99"/>
    </row>
    <row r="23" spans="1:11" x14ac:dyDescent="0.25">
      <c r="A23" s="2">
        <v>20</v>
      </c>
      <c r="B23" s="99" t="s">
        <v>36</v>
      </c>
      <c r="C23" s="99" t="s">
        <v>21</v>
      </c>
      <c r="D23" s="99" t="s">
        <v>32</v>
      </c>
      <c r="E23" s="100" t="s">
        <v>88</v>
      </c>
      <c r="F23" s="99" t="s">
        <v>37</v>
      </c>
      <c r="G23" s="100" t="str">
        <f t="shared" si="0"/>
        <v>ModificaciónDTCoreDocumentacion codigoAlta</v>
      </c>
      <c r="H23" s="99">
        <f t="shared" si="1"/>
        <v>0.625</v>
      </c>
      <c r="I23" s="99">
        <v>5</v>
      </c>
      <c r="J23" s="99"/>
      <c r="K23" s="99"/>
    </row>
    <row r="24" spans="1:11" x14ac:dyDescent="0.25">
      <c r="A24" s="2">
        <v>21</v>
      </c>
      <c r="B24" s="101" t="s">
        <v>36</v>
      </c>
      <c r="C24" s="101" t="s">
        <v>21</v>
      </c>
      <c r="D24" s="101" t="s">
        <v>33</v>
      </c>
      <c r="E24" s="102" t="s">
        <v>73</v>
      </c>
      <c r="F24" s="101" t="s">
        <v>105</v>
      </c>
      <c r="G24" s="102" t="str">
        <f t="shared" si="0"/>
        <v>ModificaciónDTFrontalDocumentacion Funcional PantallaTrivial</v>
      </c>
      <c r="H24" s="101">
        <f t="shared" si="1"/>
        <v>3.125E-2</v>
      </c>
      <c r="I24" s="101">
        <v>0.25</v>
      </c>
      <c r="J24" s="101"/>
      <c r="K24" s="101"/>
    </row>
    <row r="25" spans="1:11" x14ac:dyDescent="0.25">
      <c r="A25" s="2">
        <v>22</v>
      </c>
      <c r="B25" s="101" t="s">
        <v>36</v>
      </c>
      <c r="C25" s="101" t="s">
        <v>21</v>
      </c>
      <c r="D25" s="101" t="s">
        <v>33</v>
      </c>
      <c r="E25" s="102" t="s">
        <v>73</v>
      </c>
      <c r="F25" s="101" t="s">
        <v>39</v>
      </c>
      <c r="G25" s="102" t="str">
        <f t="shared" ref="G25" si="12">CONCATENATE(B25,C25,D25,E25,F25)</f>
        <v>ModificaciónDTFrontalDocumentacion Funcional PantallaBaja</v>
      </c>
      <c r="H25" s="101">
        <f t="shared" ref="H25" si="13">I25/8</f>
        <v>0.125</v>
      </c>
      <c r="I25" s="101">
        <v>1</v>
      </c>
      <c r="J25" s="101"/>
      <c r="K25" s="101"/>
    </row>
    <row r="26" spans="1:11" x14ac:dyDescent="0.25">
      <c r="A26" s="2">
        <v>23</v>
      </c>
      <c r="B26" s="101" t="s">
        <v>36</v>
      </c>
      <c r="C26" s="101" t="s">
        <v>21</v>
      </c>
      <c r="D26" s="101" t="s">
        <v>33</v>
      </c>
      <c r="E26" s="102" t="s">
        <v>73</v>
      </c>
      <c r="F26" s="101" t="s">
        <v>38</v>
      </c>
      <c r="G26" s="102" t="str">
        <f t="shared" si="0"/>
        <v>ModificaciónDTFrontalDocumentacion Funcional PantallaMedia</v>
      </c>
      <c r="H26" s="101">
        <f t="shared" si="1"/>
        <v>0.25</v>
      </c>
      <c r="I26" s="101">
        <v>2</v>
      </c>
      <c r="J26" s="101"/>
      <c r="K26" s="101"/>
    </row>
    <row r="27" spans="1:11" x14ac:dyDescent="0.25">
      <c r="A27" s="2">
        <v>24</v>
      </c>
      <c r="B27" s="101" t="s">
        <v>36</v>
      </c>
      <c r="C27" s="101" t="s">
        <v>21</v>
      </c>
      <c r="D27" s="101" t="s">
        <v>33</v>
      </c>
      <c r="E27" s="102" t="s">
        <v>73</v>
      </c>
      <c r="F27" s="101" t="s">
        <v>37</v>
      </c>
      <c r="G27" s="102" t="str">
        <f t="shared" si="0"/>
        <v>ModificaciónDTFrontalDocumentacion Funcional PantallaAlta</v>
      </c>
      <c r="H27" s="101">
        <f t="shared" si="1"/>
        <v>0.375</v>
      </c>
      <c r="I27" s="101">
        <v>3</v>
      </c>
      <c r="J27" s="101"/>
      <c r="K27" s="101"/>
    </row>
    <row r="28" spans="1:11" x14ac:dyDescent="0.25">
      <c r="A28" s="2">
        <v>25</v>
      </c>
      <c r="B28" s="99" t="s">
        <v>36</v>
      </c>
      <c r="C28" s="99" t="s">
        <v>21</v>
      </c>
      <c r="D28" s="99" t="s">
        <v>33</v>
      </c>
      <c r="E28" s="100" t="s">
        <v>97</v>
      </c>
      <c r="F28" s="99" t="s">
        <v>105</v>
      </c>
      <c r="G28" s="100" t="str">
        <f t="shared" si="0"/>
        <v>ModificaciónDTFrontalAnalisis Codigo AnteriorTrivial</v>
      </c>
      <c r="H28" s="99">
        <f t="shared" si="1"/>
        <v>3.125E-2</v>
      </c>
      <c r="I28" s="99">
        <v>0.25</v>
      </c>
      <c r="J28" s="99"/>
      <c r="K28" s="99"/>
    </row>
    <row r="29" spans="1:11" x14ac:dyDescent="0.25">
      <c r="A29" s="2">
        <v>26</v>
      </c>
      <c r="B29" s="99" t="s">
        <v>36</v>
      </c>
      <c r="C29" s="99" t="s">
        <v>21</v>
      </c>
      <c r="D29" s="99" t="s">
        <v>33</v>
      </c>
      <c r="E29" s="100" t="s">
        <v>97</v>
      </c>
      <c r="F29" s="99" t="s">
        <v>39</v>
      </c>
      <c r="G29" s="100" t="str">
        <f t="shared" ref="G29" si="14">CONCATENATE(B29,C29,D29,E29,F29)</f>
        <v>ModificaciónDTFrontalAnalisis Codigo AnteriorBaja</v>
      </c>
      <c r="H29" s="99">
        <f t="shared" ref="H29" si="15">I29/8</f>
        <v>0.5</v>
      </c>
      <c r="I29" s="99">
        <v>4</v>
      </c>
      <c r="J29" s="99"/>
      <c r="K29" s="99"/>
    </row>
    <row r="30" spans="1:11" x14ac:dyDescent="0.25">
      <c r="A30" s="2">
        <v>27</v>
      </c>
      <c r="B30" s="99" t="s">
        <v>36</v>
      </c>
      <c r="C30" s="99" t="s">
        <v>21</v>
      </c>
      <c r="D30" s="99" t="s">
        <v>33</v>
      </c>
      <c r="E30" s="100" t="s">
        <v>97</v>
      </c>
      <c r="F30" s="99" t="s">
        <v>38</v>
      </c>
      <c r="G30" s="100" t="str">
        <f t="shared" si="0"/>
        <v>ModificaciónDTFrontalAnalisis Codigo AnteriorMedia</v>
      </c>
      <c r="H30" s="99">
        <f t="shared" si="1"/>
        <v>0.75</v>
      </c>
      <c r="I30" s="99">
        <v>6</v>
      </c>
      <c r="J30" s="99"/>
      <c r="K30" s="99"/>
    </row>
    <row r="31" spans="1:11" x14ac:dyDescent="0.25">
      <c r="A31" s="2">
        <v>28</v>
      </c>
      <c r="B31" s="99" t="s">
        <v>36</v>
      </c>
      <c r="C31" s="99" t="s">
        <v>21</v>
      </c>
      <c r="D31" s="99" t="s">
        <v>33</v>
      </c>
      <c r="E31" s="100" t="s">
        <v>97</v>
      </c>
      <c r="F31" s="99" t="s">
        <v>37</v>
      </c>
      <c r="G31" s="100" t="str">
        <f t="shared" si="0"/>
        <v>ModificaciónDTFrontalAnalisis Codigo AnteriorAlta</v>
      </c>
      <c r="H31" s="99">
        <f t="shared" si="1"/>
        <v>1.25</v>
      </c>
      <c r="I31" s="99">
        <v>10</v>
      </c>
      <c r="J31" s="99"/>
      <c r="K31" s="99"/>
    </row>
    <row r="32" spans="1:11" x14ac:dyDescent="0.25">
      <c r="A32" s="2">
        <v>29</v>
      </c>
      <c r="B32" s="101" t="s">
        <v>36</v>
      </c>
      <c r="C32" s="101" t="s">
        <v>21</v>
      </c>
      <c r="D32" s="101" t="s">
        <v>33</v>
      </c>
      <c r="E32" s="102" t="s">
        <v>76</v>
      </c>
      <c r="F32" s="101" t="s">
        <v>105</v>
      </c>
      <c r="G32" s="102" t="str">
        <f t="shared" si="0"/>
        <v>ModificaciónDTFrontalAnalisis FuncionalTrivial</v>
      </c>
      <c r="H32" s="101">
        <f t="shared" si="1"/>
        <v>3.125E-2</v>
      </c>
      <c r="I32" s="101">
        <v>0.25</v>
      </c>
      <c r="J32" s="101"/>
      <c r="K32" s="101"/>
    </row>
    <row r="33" spans="1:12" x14ac:dyDescent="0.25">
      <c r="A33" s="2">
        <v>30</v>
      </c>
      <c r="B33" s="101" t="s">
        <v>36</v>
      </c>
      <c r="C33" s="101" t="s">
        <v>21</v>
      </c>
      <c r="D33" s="101" t="s">
        <v>33</v>
      </c>
      <c r="E33" s="102" t="s">
        <v>76</v>
      </c>
      <c r="F33" s="101" t="s">
        <v>39</v>
      </c>
      <c r="G33" s="102" t="str">
        <f t="shared" ref="G33" si="16">CONCATENATE(B33,C33,D33,E33,F33)</f>
        <v>ModificaciónDTFrontalAnalisis FuncionalBaja</v>
      </c>
      <c r="H33" s="101">
        <f t="shared" ref="H33" si="17">I33/8</f>
        <v>0.25</v>
      </c>
      <c r="I33" s="101">
        <v>2</v>
      </c>
      <c r="J33" s="101"/>
      <c r="K33" s="101"/>
    </row>
    <row r="34" spans="1:12" x14ac:dyDescent="0.25">
      <c r="A34" s="2">
        <v>31</v>
      </c>
      <c r="B34" s="101" t="s">
        <v>36</v>
      </c>
      <c r="C34" s="101" t="s">
        <v>21</v>
      </c>
      <c r="D34" s="101" t="s">
        <v>33</v>
      </c>
      <c r="E34" s="102" t="s">
        <v>76</v>
      </c>
      <c r="F34" s="101" t="s">
        <v>38</v>
      </c>
      <c r="G34" s="102" t="str">
        <f t="shared" si="0"/>
        <v>ModificaciónDTFrontalAnalisis FuncionalMedia</v>
      </c>
      <c r="H34" s="101">
        <f t="shared" si="1"/>
        <v>0.5</v>
      </c>
      <c r="I34" s="101">
        <v>4</v>
      </c>
      <c r="J34" s="101"/>
      <c r="K34" s="101"/>
    </row>
    <row r="35" spans="1:12" x14ac:dyDescent="0.25">
      <c r="A35" s="2">
        <v>32</v>
      </c>
      <c r="B35" s="101" t="s">
        <v>36</v>
      </c>
      <c r="C35" s="101" t="s">
        <v>21</v>
      </c>
      <c r="D35" s="101" t="s">
        <v>33</v>
      </c>
      <c r="E35" s="102" t="s">
        <v>76</v>
      </c>
      <c r="F35" s="101" t="s">
        <v>37</v>
      </c>
      <c r="G35" s="102" t="str">
        <f t="shared" si="0"/>
        <v>ModificaciónDTFrontalAnalisis FuncionalAlta</v>
      </c>
      <c r="H35" s="101">
        <f t="shared" si="1"/>
        <v>0.625</v>
      </c>
      <c r="I35" s="101">
        <v>5</v>
      </c>
      <c r="J35" s="101"/>
      <c r="K35" s="101"/>
    </row>
    <row r="36" spans="1:12" x14ac:dyDescent="0.25">
      <c r="A36" s="2">
        <v>33</v>
      </c>
      <c r="B36" s="99" t="s">
        <v>36</v>
      </c>
      <c r="C36" s="99" t="s">
        <v>21</v>
      </c>
      <c r="D36" s="99" t="s">
        <v>33</v>
      </c>
      <c r="E36" s="100" t="s">
        <v>88</v>
      </c>
      <c r="F36" s="99" t="s">
        <v>105</v>
      </c>
      <c r="G36" s="100" t="str">
        <f t="shared" si="0"/>
        <v>ModificaciónDTFrontalDocumentacion codigoTrivial</v>
      </c>
      <c r="H36" s="99">
        <f t="shared" si="1"/>
        <v>3.125E-2</v>
      </c>
      <c r="I36" s="99">
        <v>0.25</v>
      </c>
      <c r="J36" s="99"/>
      <c r="K36" s="99"/>
    </row>
    <row r="37" spans="1:12" x14ac:dyDescent="0.25">
      <c r="A37" s="2">
        <v>34</v>
      </c>
      <c r="B37" s="99" t="s">
        <v>36</v>
      </c>
      <c r="C37" s="99" t="s">
        <v>21</v>
      </c>
      <c r="D37" s="99" t="s">
        <v>33</v>
      </c>
      <c r="E37" s="100" t="s">
        <v>88</v>
      </c>
      <c r="F37" s="99" t="s">
        <v>39</v>
      </c>
      <c r="G37" s="100" t="str">
        <f t="shared" ref="G37" si="18">CONCATENATE(B37,C37,D37,E37,F37)</f>
        <v>ModificaciónDTFrontalDocumentacion codigoBaja</v>
      </c>
      <c r="H37" s="99">
        <f t="shared" ref="H37" si="19">I37/8</f>
        <v>0.125</v>
      </c>
      <c r="I37" s="99">
        <v>1</v>
      </c>
      <c r="J37" s="99"/>
      <c r="K37" s="99"/>
    </row>
    <row r="38" spans="1:12" x14ac:dyDescent="0.25">
      <c r="A38" s="2">
        <v>35</v>
      </c>
      <c r="B38" s="99" t="s">
        <v>36</v>
      </c>
      <c r="C38" s="99" t="s">
        <v>21</v>
      </c>
      <c r="D38" s="99" t="s">
        <v>33</v>
      </c>
      <c r="E38" s="100" t="s">
        <v>88</v>
      </c>
      <c r="F38" s="99" t="s">
        <v>38</v>
      </c>
      <c r="G38" s="100" t="str">
        <f t="shared" si="0"/>
        <v>ModificaciónDTFrontalDocumentacion codigoMedia</v>
      </c>
      <c r="H38" s="99">
        <f t="shared" si="1"/>
        <v>0.25</v>
      </c>
      <c r="I38" s="99">
        <v>2</v>
      </c>
      <c r="J38" s="99"/>
      <c r="K38" s="99"/>
    </row>
    <row r="39" spans="1:12" x14ac:dyDescent="0.25">
      <c r="A39" s="2">
        <v>36</v>
      </c>
      <c r="B39" s="99" t="s">
        <v>36</v>
      </c>
      <c r="C39" s="99" t="s">
        <v>21</v>
      </c>
      <c r="D39" s="99" t="s">
        <v>33</v>
      </c>
      <c r="E39" s="100" t="s">
        <v>88</v>
      </c>
      <c r="F39" s="99" t="s">
        <v>37</v>
      </c>
      <c r="G39" s="100" t="str">
        <f t="shared" si="0"/>
        <v>ModificaciónDTFrontalDocumentacion codigoAlta</v>
      </c>
      <c r="H39" s="99">
        <f t="shared" si="1"/>
        <v>0.5</v>
      </c>
      <c r="I39" s="99">
        <v>4</v>
      </c>
      <c r="J39" s="99"/>
      <c r="K39" s="99"/>
    </row>
    <row r="40" spans="1:12" x14ac:dyDescent="0.25">
      <c r="A40" s="2">
        <v>37</v>
      </c>
      <c r="B40" s="101" t="s">
        <v>36</v>
      </c>
      <c r="C40" s="101" t="s">
        <v>21</v>
      </c>
      <c r="D40" s="101" t="s">
        <v>112</v>
      </c>
      <c r="E40" s="102" t="s">
        <v>79</v>
      </c>
      <c r="F40" s="101" t="s">
        <v>105</v>
      </c>
      <c r="G40" s="102" t="str">
        <f t="shared" si="0"/>
        <v>ModificaciónDTAPI_RESTAnalizar ApiTrivial</v>
      </c>
      <c r="H40" s="101">
        <f t="shared" si="1"/>
        <v>3.125E-2</v>
      </c>
      <c r="I40" s="101">
        <v>0.25</v>
      </c>
      <c r="J40" s="101"/>
      <c r="K40" s="101"/>
    </row>
    <row r="41" spans="1:12" x14ac:dyDescent="0.25">
      <c r="A41" s="2">
        <v>38</v>
      </c>
      <c r="B41" s="101" t="s">
        <v>36</v>
      </c>
      <c r="C41" s="101" t="s">
        <v>21</v>
      </c>
      <c r="D41" s="101" t="s">
        <v>112</v>
      </c>
      <c r="E41" s="102" t="s">
        <v>79</v>
      </c>
      <c r="F41" s="101" t="s">
        <v>39</v>
      </c>
      <c r="G41" s="102" t="str">
        <f t="shared" ref="G41" si="20">CONCATENATE(B41,C41,D41,E41,F41)</f>
        <v>ModificaciónDTAPI_RESTAnalizar ApiBaja</v>
      </c>
      <c r="H41" s="101">
        <f t="shared" ref="H41" si="21">I41/8</f>
        <v>0.375</v>
      </c>
      <c r="I41" s="101">
        <v>3</v>
      </c>
      <c r="J41" s="101"/>
      <c r="K41" s="101"/>
    </row>
    <row r="42" spans="1:12" x14ac:dyDescent="0.25">
      <c r="A42" s="2">
        <v>39</v>
      </c>
      <c r="B42" s="101" t="s">
        <v>36</v>
      </c>
      <c r="C42" s="101" t="s">
        <v>21</v>
      </c>
      <c r="D42" s="101" t="s">
        <v>112</v>
      </c>
      <c r="E42" s="102" t="s">
        <v>79</v>
      </c>
      <c r="F42" s="101" t="s">
        <v>38</v>
      </c>
      <c r="G42" s="102" t="str">
        <f t="shared" si="0"/>
        <v>ModificaciónDTAPI_RESTAnalizar ApiMedia</v>
      </c>
      <c r="H42" s="101">
        <f t="shared" si="1"/>
        <v>0.75</v>
      </c>
      <c r="I42" s="101">
        <v>6</v>
      </c>
      <c r="J42" s="101"/>
      <c r="K42" s="101"/>
    </row>
    <row r="43" spans="1:12" x14ac:dyDescent="0.25">
      <c r="A43" s="2">
        <v>40</v>
      </c>
      <c r="B43" s="101" t="s">
        <v>36</v>
      </c>
      <c r="C43" s="101" t="s">
        <v>21</v>
      </c>
      <c r="D43" s="101" t="s">
        <v>112</v>
      </c>
      <c r="E43" s="102" t="s">
        <v>79</v>
      </c>
      <c r="F43" s="101" t="s">
        <v>37</v>
      </c>
      <c r="G43" s="102" t="str">
        <f t="shared" si="0"/>
        <v>ModificaciónDTAPI_RESTAnalizar ApiAlta</v>
      </c>
      <c r="H43" s="101">
        <f t="shared" si="1"/>
        <v>1</v>
      </c>
      <c r="I43" s="101">
        <v>8</v>
      </c>
      <c r="J43" s="101"/>
      <c r="K43" s="101"/>
    </row>
    <row r="44" spans="1:12" x14ac:dyDescent="0.25">
      <c r="A44" s="2">
        <v>41</v>
      </c>
      <c r="B44" s="99" t="s">
        <v>36</v>
      </c>
      <c r="C44" s="99" t="s">
        <v>21</v>
      </c>
      <c r="D44" s="99" t="s">
        <v>112</v>
      </c>
      <c r="E44" s="100" t="s">
        <v>88</v>
      </c>
      <c r="F44" s="99" t="s">
        <v>105</v>
      </c>
      <c r="G44" s="100" t="str">
        <f t="shared" si="0"/>
        <v>ModificaciónDTAPI_RESTDocumentacion codigoTrivial</v>
      </c>
      <c r="H44" s="99">
        <f t="shared" si="1"/>
        <v>3.125E-2</v>
      </c>
      <c r="I44" s="99">
        <v>0.25</v>
      </c>
      <c r="J44" s="99"/>
      <c r="K44" s="99"/>
      <c r="L44" s="46"/>
    </row>
    <row r="45" spans="1:12" x14ac:dyDescent="0.25">
      <c r="A45" s="2">
        <v>42</v>
      </c>
      <c r="B45" s="99" t="s">
        <v>36</v>
      </c>
      <c r="C45" s="99" t="s">
        <v>21</v>
      </c>
      <c r="D45" s="99" t="s">
        <v>112</v>
      </c>
      <c r="E45" s="100" t="s">
        <v>88</v>
      </c>
      <c r="F45" s="99" t="s">
        <v>39</v>
      </c>
      <c r="G45" s="100" t="str">
        <f t="shared" ref="G45" si="22">CONCATENATE(B45,C45,D45,E45,F45)</f>
        <v>ModificaciónDTAPI_RESTDocumentacion codigoBaja</v>
      </c>
      <c r="H45" s="99">
        <f t="shared" ref="H45" si="23">I45/8</f>
        <v>0.25</v>
      </c>
      <c r="I45" s="99">
        <v>2</v>
      </c>
      <c r="J45" s="99"/>
      <c r="K45" s="99"/>
      <c r="L45" s="46"/>
    </row>
    <row r="46" spans="1:12" x14ac:dyDescent="0.25">
      <c r="A46" s="2">
        <v>43</v>
      </c>
      <c r="B46" s="99" t="s">
        <v>36</v>
      </c>
      <c r="C46" s="99" t="s">
        <v>21</v>
      </c>
      <c r="D46" s="99" t="s">
        <v>112</v>
      </c>
      <c r="E46" s="100" t="s">
        <v>88</v>
      </c>
      <c r="F46" s="99" t="s">
        <v>38</v>
      </c>
      <c r="G46" s="100" t="str">
        <f t="shared" si="0"/>
        <v>ModificaciónDTAPI_RESTDocumentacion codigoMedia</v>
      </c>
      <c r="H46" s="99">
        <f t="shared" si="1"/>
        <v>0.5</v>
      </c>
      <c r="I46" s="99">
        <v>4</v>
      </c>
      <c r="J46" s="99"/>
      <c r="K46" s="99"/>
      <c r="L46" s="46"/>
    </row>
    <row r="47" spans="1:12" x14ac:dyDescent="0.25">
      <c r="A47" s="2">
        <v>44</v>
      </c>
      <c r="B47" s="99" t="s">
        <v>36</v>
      </c>
      <c r="C47" s="99" t="s">
        <v>21</v>
      </c>
      <c r="D47" s="99" t="s">
        <v>112</v>
      </c>
      <c r="E47" s="100" t="s">
        <v>88</v>
      </c>
      <c r="F47" s="99" t="s">
        <v>37</v>
      </c>
      <c r="G47" s="100" t="str">
        <f t="shared" si="0"/>
        <v>ModificaciónDTAPI_RESTDocumentacion codigoAlta</v>
      </c>
      <c r="H47" s="99">
        <f t="shared" si="1"/>
        <v>0.625</v>
      </c>
      <c r="I47" s="99">
        <v>5</v>
      </c>
      <c r="J47" s="99"/>
      <c r="K47" s="99"/>
      <c r="L47" s="46"/>
    </row>
    <row r="48" spans="1:12" x14ac:dyDescent="0.25">
      <c r="A48" s="2">
        <v>45</v>
      </c>
      <c r="B48" s="101" t="s">
        <v>36</v>
      </c>
      <c r="C48" s="101" t="s">
        <v>21</v>
      </c>
      <c r="D48" s="101" t="s">
        <v>112</v>
      </c>
      <c r="E48" s="102" t="s">
        <v>90</v>
      </c>
      <c r="F48" s="101" t="s">
        <v>105</v>
      </c>
      <c r="G48" s="102" t="str">
        <f t="shared" si="0"/>
        <v>ModificaciónDTAPI_RESTDocumentacion Funcional APITrivial</v>
      </c>
      <c r="H48" s="101">
        <f t="shared" si="1"/>
        <v>3.125E-2</v>
      </c>
      <c r="I48" s="101">
        <v>0.25</v>
      </c>
      <c r="J48" s="101"/>
      <c r="K48" s="101"/>
      <c r="L48" s="46"/>
    </row>
    <row r="49" spans="1:12" x14ac:dyDescent="0.25">
      <c r="A49" s="2">
        <v>46</v>
      </c>
      <c r="B49" s="101" t="s">
        <v>36</v>
      </c>
      <c r="C49" s="101" t="s">
        <v>21</v>
      </c>
      <c r="D49" s="101" t="s">
        <v>112</v>
      </c>
      <c r="E49" s="102" t="s">
        <v>90</v>
      </c>
      <c r="F49" s="101" t="s">
        <v>39</v>
      </c>
      <c r="G49" s="102" t="str">
        <f t="shared" ref="G49" si="24">CONCATENATE(B49,C49,D49,E49,F49)</f>
        <v>ModificaciónDTAPI_RESTDocumentacion Funcional APIBaja</v>
      </c>
      <c r="H49" s="101">
        <f t="shared" ref="H49" si="25">I49/8</f>
        <v>0.125</v>
      </c>
      <c r="I49" s="101">
        <v>1</v>
      </c>
      <c r="J49" s="101"/>
      <c r="K49" s="101"/>
      <c r="L49" s="46"/>
    </row>
    <row r="50" spans="1:12" x14ac:dyDescent="0.25">
      <c r="A50" s="2">
        <v>47</v>
      </c>
      <c r="B50" s="101" t="s">
        <v>36</v>
      </c>
      <c r="C50" s="101" t="s">
        <v>21</v>
      </c>
      <c r="D50" s="101" t="s">
        <v>112</v>
      </c>
      <c r="E50" s="102" t="s">
        <v>90</v>
      </c>
      <c r="F50" s="101" t="s">
        <v>38</v>
      </c>
      <c r="G50" s="102" t="str">
        <f t="shared" si="0"/>
        <v>ModificaciónDTAPI_RESTDocumentacion Funcional APIMedia</v>
      </c>
      <c r="H50" s="101">
        <f t="shared" si="1"/>
        <v>0.25</v>
      </c>
      <c r="I50" s="101">
        <v>2</v>
      </c>
      <c r="J50" s="101"/>
      <c r="K50" s="101"/>
      <c r="L50" s="46"/>
    </row>
    <row r="51" spans="1:12" x14ac:dyDescent="0.25">
      <c r="A51" s="2">
        <v>48</v>
      </c>
      <c r="B51" s="101" t="s">
        <v>36</v>
      </c>
      <c r="C51" s="101" t="s">
        <v>21</v>
      </c>
      <c r="D51" s="101" t="s">
        <v>112</v>
      </c>
      <c r="E51" s="102" t="s">
        <v>90</v>
      </c>
      <c r="F51" s="101" t="s">
        <v>37</v>
      </c>
      <c r="G51" s="102" t="str">
        <f t="shared" si="0"/>
        <v>ModificaciónDTAPI_RESTDocumentacion Funcional APIAlta</v>
      </c>
      <c r="H51" s="101">
        <f t="shared" si="1"/>
        <v>0.625</v>
      </c>
      <c r="I51" s="101">
        <v>5</v>
      </c>
      <c r="J51" s="101"/>
      <c r="K51" s="101"/>
      <c r="L51" s="46"/>
    </row>
    <row r="52" spans="1:12" x14ac:dyDescent="0.25">
      <c r="A52" s="2">
        <v>49</v>
      </c>
      <c r="B52" s="99" t="s">
        <v>36</v>
      </c>
      <c r="C52" s="99" t="s">
        <v>21</v>
      </c>
      <c r="D52" s="99" t="s">
        <v>107</v>
      </c>
      <c r="E52" s="100" t="s">
        <v>79</v>
      </c>
      <c r="F52" s="99" t="s">
        <v>105</v>
      </c>
      <c r="G52" s="100" t="str">
        <f t="shared" ref="G52:G63" si="26">CONCATENATE(B52,C52,D52,E52,F52)</f>
        <v>ModificaciónDTAPI SOAPAnalizar ApiTrivial</v>
      </c>
      <c r="H52" s="99">
        <f t="shared" ref="H52:H63" si="27">I52/8</f>
        <v>3.125E-2</v>
      </c>
      <c r="I52" s="99">
        <v>0.25</v>
      </c>
      <c r="J52" s="99"/>
      <c r="K52" s="99"/>
      <c r="L52" s="46"/>
    </row>
    <row r="53" spans="1:12" x14ac:dyDescent="0.25">
      <c r="A53" s="2">
        <v>50</v>
      </c>
      <c r="B53" s="99" t="s">
        <v>36</v>
      </c>
      <c r="C53" s="99" t="s">
        <v>21</v>
      </c>
      <c r="D53" s="99" t="s">
        <v>107</v>
      </c>
      <c r="E53" s="100" t="s">
        <v>79</v>
      </c>
      <c r="F53" s="99" t="s">
        <v>39</v>
      </c>
      <c r="G53" s="100" t="str">
        <f t="shared" si="26"/>
        <v>ModificaciónDTAPI SOAPAnalizar ApiBaja</v>
      </c>
      <c r="H53" s="99">
        <f t="shared" si="27"/>
        <v>0.25</v>
      </c>
      <c r="I53" s="99">
        <v>2</v>
      </c>
      <c r="J53" s="99"/>
      <c r="K53" s="99"/>
      <c r="L53" s="46"/>
    </row>
    <row r="54" spans="1:12" x14ac:dyDescent="0.25">
      <c r="A54" s="2">
        <v>51</v>
      </c>
      <c r="B54" s="99" t="s">
        <v>36</v>
      </c>
      <c r="C54" s="99" t="s">
        <v>21</v>
      </c>
      <c r="D54" s="99" t="s">
        <v>107</v>
      </c>
      <c r="E54" s="100" t="s">
        <v>79</v>
      </c>
      <c r="F54" s="99" t="s">
        <v>38</v>
      </c>
      <c r="G54" s="100" t="str">
        <f t="shared" si="26"/>
        <v>ModificaciónDTAPI SOAPAnalizar ApiMedia</v>
      </c>
      <c r="H54" s="99">
        <f t="shared" si="27"/>
        <v>0.5</v>
      </c>
      <c r="I54" s="99">
        <v>4</v>
      </c>
      <c r="J54" s="99"/>
      <c r="K54" s="99"/>
      <c r="L54" s="46"/>
    </row>
    <row r="55" spans="1:12" x14ac:dyDescent="0.25">
      <c r="A55" s="2">
        <v>52</v>
      </c>
      <c r="B55" s="99" t="s">
        <v>36</v>
      </c>
      <c r="C55" s="99" t="s">
        <v>21</v>
      </c>
      <c r="D55" s="99" t="s">
        <v>107</v>
      </c>
      <c r="E55" s="100" t="s">
        <v>79</v>
      </c>
      <c r="F55" s="99" t="s">
        <v>37</v>
      </c>
      <c r="G55" s="100" t="str">
        <f t="shared" si="26"/>
        <v>ModificaciónDTAPI SOAPAnalizar ApiAlta</v>
      </c>
      <c r="H55" s="99">
        <f t="shared" si="27"/>
        <v>0.75</v>
      </c>
      <c r="I55" s="99">
        <v>6</v>
      </c>
      <c r="J55" s="99"/>
      <c r="K55" s="99"/>
      <c r="L55" s="46"/>
    </row>
    <row r="56" spans="1:12" x14ac:dyDescent="0.25">
      <c r="A56" s="2">
        <v>53</v>
      </c>
      <c r="B56" s="101" t="s">
        <v>36</v>
      </c>
      <c r="C56" s="101" t="s">
        <v>21</v>
      </c>
      <c r="D56" s="101" t="s">
        <v>107</v>
      </c>
      <c r="E56" s="102" t="s">
        <v>88</v>
      </c>
      <c r="F56" s="101" t="s">
        <v>105</v>
      </c>
      <c r="G56" s="102" t="str">
        <f t="shared" si="26"/>
        <v>ModificaciónDTAPI SOAPDocumentacion codigoTrivial</v>
      </c>
      <c r="H56" s="101">
        <f t="shared" si="27"/>
        <v>3.125E-2</v>
      </c>
      <c r="I56" s="101">
        <v>0.25</v>
      </c>
      <c r="J56" s="101"/>
      <c r="K56" s="101"/>
      <c r="L56" s="46"/>
    </row>
    <row r="57" spans="1:12" x14ac:dyDescent="0.25">
      <c r="A57" s="2">
        <v>54</v>
      </c>
      <c r="B57" s="101" t="s">
        <v>36</v>
      </c>
      <c r="C57" s="101" t="s">
        <v>21</v>
      </c>
      <c r="D57" s="101" t="s">
        <v>107</v>
      </c>
      <c r="E57" s="102" t="s">
        <v>88</v>
      </c>
      <c r="F57" s="101" t="s">
        <v>39</v>
      </c>
      <c r="G57" s="102" t="str">
        <f t="shared" si="26"/>
        <v>ModificaciónDTAPI SOAPDocumentacion codigoBaja</v>
      </c>
      <c r="H57" s="101">
        <f t="shared" si="27"/>
        <v>0.25</v>
      </c>
      <c r="I57" s="101">
        <v>2</v>
      </c>
      <c r="J57" s="101"/>
      <c r="K57" s="101"/>
      <c r="L57" s="46"/>
    </row>
    <row r="58" spans="1:12" x14ac:dyDescent="0.25">
      <c r="A58" s="2">
        <v>55</v>
      </c>
      <c r="B58" s="101" t="s">
        <v>36</v>
      </c>
      <c r="C58" s="101" t="s">
        <v>21</v>
      </c>
      <c r="D58" s="101" t="s">
        <v>107</v>
      </c>
      <c r="E58" s="102" t="s">
        <v>88</v>
      </c>
      <c r="F58" s="101" t="s">
        <v>38</v>
      </c>
      <c r="G58" s="102" t="str">
        <f t="shared" si="26"/>
        <v>ModificaciónDTAPI SOAPDocumentacion codigoMedia</v>
      </c>
      <c r="H58" s="101">
        <f t="shared" si="27"/>
        <v>0.5</v>
      </c>
      <c r="I58" s="101">
        <v>4</v>
      </c>
      <c r="J58" s="101"/>
      <c r="K58" s="101"/>
      <c r="L58" s="46"/>
    </row>
    <row r="59" spans="1:12" x14ac:dyDescent="0.25">
      <c r="A59" s="2">
        <v>56</v>
      </c>
      <c r="B59" s="101" t="s">
        <v>36</v>
      </c>
      <c r="C59" s="101" t="s">
        <v>21</v>
      </c>
      <c r="D59" s="101" t="s">
        <v>107</v>
      </c>
      <c r="E59" s="102" t="s">
        <v>88</v>
      </c>
      <c r="F59" s="101" t="s">
        <v>37</v>
      </c>
      <c r="G59" s="102" t="str">
        <f t="shared" si="26"/>
        <v>ModificaciónDTAPI SOAPDocumentacion codigoAlta</v>
      </c>
      <c r="H59" s="101">
        <f t="shared" si="27"/>
        <v>0.75</v>
      </c>
      <c r="I59" s="101">
        <v>6</v>
      </c>
      <c r="J59" s="101"/>
      <c r="K59" s="101"/>
      <c r="L59" s="46"/>
    </row>
    <row r="60" spans="1:12" x14ac:dyDescent="0.25">
      <c r="A60" s="2">
        <v>57</v>
      </c>
      <c r="B60" s="99" t="s">
        <v>36</v>
      </c>
      <c r="C60" s="99" t="s">
        <v>21</v>
      </c>
      <c r="D60" s="99" t="s">
        <v>107</v>
      </c>
      <c r="E60" s="100" t="s">
        <v>90</v>
      </c>
      <c r="F60" s="99" t="s">
        <v>105</v>
      </c>
      <c r="G60" s="100" t="str">
        <f t="shared" si="26"/>
        <v>ModificaciónDTAPI SOAPDocumentacion Funcional APITrivial</v>
      </c>
      <c r="H60" s="99">
        <f t="shared" si="27"/>
        <v>3.125E-2</v>
      </c>
      <c r="I60" s="99">
        <v>0.25</v>
      </c>
      <c r="J60" s="99"/>
      <c r="K60" s="99"/>
      <c r="L60" s="46"/>
    </row>
    <row r="61" spans="1:12" x14ac:dyDescent="0.25">
      <c r="A61" s="2">
        <v>58</v>
      </c>
      <c r="B61" s="99" t="s">
        <v>36</v>
      </c>
      <c r="C61" s="99" t="s">
        <v>21</v>
      </c>
      <c r="D61" s="99" t="s">
        <v>107</v>
      </c>
      <c r="E61" s="100" t="s">
        <v>90</v>
      </c>
      <c r="F61" s="99" t="s">
        <v>39</v>
      </c>
      <c r="G61" s="100" t="str">
        <f t="shared" si="26"/>
        <v>ModificaciónDTAPI SOAPDocumentacion Funcional APIBaja</v>
      </c>
      <c r="H61" s="99">
        <f t="shared" si="27"/>
        <v>0.125</v>
      </c>
      <c r="I61" s="99">
        <v>1</v>
      </c>
      <c r="J61" s="99"/>
      <c r="K61" s="99"/>
      <c r="L61" s="46"/>
    </row>
    <row r="62" spans="1:12" x14ac:dyDescent="0.25">
      <c r="A62" s="2">
        <v>59</v>
      </c>
      <c r="B62" s="99" t="s">
        <v>36</v>
      </c>
      <c r="C62" s="99" t="s">
        <v>21</v>
      </c>
      <c r="D62" s="99" t="s">
        <v>107</v>
      </c>
      <c r="E62" s="100" t="s">
        <v>90</v>
      </c>
      <c r="F62" s="99" t="s">
        <v>38</v>
      </c>
      <c r="G62" s="100" t="str">
        <f t="shared" si="26"/>
        <v>ModificaciónDTAPI SOAPDocumentacion Funcional APIMedia</v>
      </c>
      <c r="H62" s="99">
        <f t="shared" si="27"/>
        <v>0.25</v>
      </c>
      <c r="I62" s="99">
        <v>2</v>
      </c>
      <c r="J62" s="99"/>
      <c r="K62" s="99"/>
      <c r="L62" s="46"/>
    </row>
    <row r="63" spans="1:12" x14ac:dyDescent="0.25">
      <c r="A63" s="2">
        <v>60</v>
      </c>
      <c r="B63" s="99" t="s">
        <v>36</v>
      </c>
      <c r="C63" s="99" t="s">
        <v>21</v>
      </c>
      <c r="D63" s="99" t="s">
        <v>107</v>
      </c>
      <c r="E63" s="100" t="s">
        <v>90</v>
      </c>
      <c r="F63" s="99" t="s">
        <v>37</v>
      </c>
      <c r="G63" s="100" t="str">
        <f t="shared" si="26"/>
        <v>ModificaciónDTAPI SOAPDocumentacion Funcional APIAlta</v>
      </c>
      <c r="H63" s="99">
        <f t="shared" si="27"/>
        <v>0.375</v>
      </c>
      <c r="I63" s="99">
        <v>3</v>
      </c>
      <c r="J63" s="99"/>
      <c r="K63" s="99"/>
      <c r="L63" s="46"/>
    </row>
    <row r="64" spans="1:12" x14ac:dyDescent="0.25">
      <c r="A64" s="2">
        <v>61</v>
      </c>
      <c r="B64" s="101" t="s">
        <v>36</v>
      </c>
      <c r="C64" s="101" t="s">
        <v>21</v>
      </c>
      <c r="D64" s="101" t="s">
        <v>34</v>
      </c>
      <c r="E64" s="102" t="s">
        <v>78</v>
      </c>
      <c r="F64" s="101" t="s">
        <v>105</v>
      </c>
      <c r="G64" s="102" t="str">
        <f t="shared" si="0"/>
        <v>ModificaciónDTGeneralAnalizarTrivial</v>
      </c>
      <c r="H64" s="101">
        <f t="shared" si="1"/>
        <v>3.125E-2</v>
      </c>
      <c r="I64" s="101">
        <v>0.25</v>
      </c>
      <c r="J64" s="101"/>
      <c r="K64" s="101"/>
      <c r="L64" s="46"/>
    </row>
    <row r="65" spans="1:12" x14ac:dyDescent="0.25">
      <c r="A65" s="2">
        <v>62</v>
      </c>
      <c r="B65" s="101" t="s">
        <v>36</v>
      </c>
      <c r="C65" s="101" t="s">
        <v>21</v>
      </c>
      <c r="D65" s="101" t="s">
        <v>34</v>
      </c>
      <c r="E65" s="102" t="s">
        <v>78</v>
      </c>
      <c r="F65" s="101" t="s">
        <v>39</v>
      </c>
      <c r="G65" s="102" t="str">
        <f t="shared" ref="G65" si="28">CONCATENATE(B65,C65,D65,E65,F65)</f>
        <v>ModificaciónDTGeneralAnalizarBaja</v>
      </c>
      <c r="H65" s="101">
        <f t="shared" ref="H65" si="29">I65/8</f>
        <v>0.125</v>
      </c>
      <c r="I65" s="101">
        <v>1</v>
      </c>
      <c r="J65" s="101"/>
      <c r="K65" s="101"/>
      <c r="L65" s="46"/>
    </row>
    <row r="66" spans="1:12" x14ac:dyDescent="0.25">
      <c r="A66" s="2">
        <v>63</v>
      </c>
      <c r="B66" s="101" t="s">
        <v>36</v>
      </c>
      <c r="C66" s="101" t="s">
        <v>21</v>
      </c>
      <c r="D66" s="101" t="s">
        <v>34</v>
      </c>
      <c r="E66" s="102" t="s">
        <v>78</v>
      </c>
      <c r="F66" s="101" t="s">
        <v>38</v>
      </c>
      <c r="G66" s="102" t="str">
        <f>CONCATENATE(B66,C66,D66,E66,F66)</f>
        <v>ModificaciónDTGeneralAnalizarMedia</v>
      </c>
      <c r="H66" s="101">
        <f t="shared" si="1"/>
        <v>0.25</v>
      </c>
      <c r="I66" s="101">
        <v>2</v>
      </c>
      <c r="J66" s="101"/>
      <c r="K66" s="101"/>
      <c r="L66" s="46"/>
    </row>
    <row r="67" spans="1:12" x14ac:dyDescent="0.25">
      <c r="A67" s="2">
        <v>64</v>
      </c>
      <c r="B67" s="101" t="s">
        <v>36</v>
      </c>
      <c r="C67" s="101" t="s">
        <v>21</v>
      </c>
      <c r="D67" s="101" t="s">
        <v>34</v>
      </c>
      <c r="E67" s="102" t="s">
        <v>78</v>
      </c>
      <c r="F67" s="101" t="s">
        <v>37</v>
      </c>
      <c r="G67" s="102" t="str">
        <f>CONCATENATE(B67,C67,D67,E67,F67)</f>
        <v>ModificaciónDTGeneralAnalizarAlta</v>
      </c>
      <c r="H67" s="101">
        <f t="shared" si="1"/>
        <v>0.375</v>
      </c>
      <c r="I67" s="101">
        <v>3</v>
      </c>
      <c r="J67" s="101"/>
      <c r="K67" s="101"/>
      <c r="L67" s="46"/>
    </row>
    <row r="68" spans="1:12" x14ac:dyDescent="0.25">
      <c r="A68" s="2">
        <v>65</v>
      </c>
      <c r="B68" s="99" t="s">
        <v>36</v>
      </c>
      <c r="C68" s="99" t="s">
        <v>21</v>
      </c>
      <c r="D68" s="99" t="s">
        <v>34</v>
      </c>
      <c r="E68" s="100" t="s">
        <v>77</v>
      </c>
      <c r="F68" s="99" t="s">
        <v>105</v>
      </c>
      <c r="G68" s="100" t="str">
        <f t="shared" ref="G68:G71" si="30">CONCATENATE(B68,C68,D68,E68,F68)</f>
        <v>ModificaciónDTGeneralDocumentarTrivial</v>
      </c>
      <c r="H68" s="99">
        <f t="shared" si="1"/>
        <v>3.125E-2</v>
      </c>
      <c r="I68" s="99">
        <v>0.25</v>
      </c>
      <c r="J68" s="99"/>
      <c r="K68" s="99"/>
      <c r="L68" s="46"/>
    </row>
    <row r="69" spans="1:12" x14ac:dyDescent="0.25">
      <c r="A69" s="2">
        <v>66</v>
      </c>
      <c r="B69" s="99" t="s">
        <v>36</v>
      </c>
      <c r="C69" s="99" t="s">
        <v>21</v>
      </c>
      <c r="D69" s="99" t="s">
        <v>34</v>
      </c>
      <c r="E69" s="100" t="s">
        <v>77</v>
      </c>
      <c r="F69" s="99" t="s">
        <v>39</v>
      </c>
      <c r="G69" s="100" t="str">
        <f t="shared" ref="G69" si="31">CONCATENATE(B69,C69,D69,E69,F69)</f>
        <v>ModificaciónDTGeneralDocumentarBaja</v>
      </c>
      <c r="H69" s="99">
        <f t="shared" ref="H69" si="32">I69/8</f>
        <v>0.125</v>
      </c>
      <c r="I69" s="99">
        <v>1</v>
      </c>
      <c r="J69" s="99"/>
      <c r="K69" s="99"/>
      <c r="L69" s="46"/>
    </row>
    <row r="70" spans="1:12" x14ac:dyDescent="0.25">
      <c r="A70" s="2">
        <v>67</v>
      </c>
      <c r="B70" s="99" t="s">
        <v>36</v>
      </c>
      <c r="C70" s="99" t="s">
        <v>21</v>
      </c>
      <c r="D70" s="99" t="s">
        <v>34</v>
      </c>
      <c r="E70" s="100" t="s">
        <v>77</v>
      </c>
      <c r="F70" s="99" t="s">
        <v>38</v>
      </c>
      <c r="G70" s="100" t="str">
        <f t="shared" si="30"/>
        <v>ModificaciónDTGeneralDocumentarMedia</v>
      </c>
      <c r="H70" s="99">
        <f t="shared" si="1"/>
        <v>0.375</v>
      </c>
      <c r="I70" s="99">
        <v>3</v>
      </c>
      <c r="J70" s="99"/>
      <c r="K70" s="99"/>
      <c r="L70" s="46"/>
    </row>
    <row r="71" spans="1:12" x14ac:dyDescent="0.25">
      <c r="A71" s="2">
        <v>68</v>
      </c>
      <c r="B71" s="99" t="s">
        <v>36</v>
      </c>
      <c r="C71" s="99" t="s">
        <v>21</v>
      </c>
      <c r="D71" s="99" t="s">
        <v>34</v>
      </c>
      <c r="E71" s="100" t="s">
        <v>77</v>
      </c>
      <c r="F71" s="99" t="s">
        <v>37</v>
      </c>
      <c r="G71" s="100" t="str">
        <f t="shared" si="30"/>
        <v>ModificaciónDTGeneralDocumentarAlta</v>
      </c>
      <c r="H71" s="99">
        <f t="shared" si="1"/>
        <v>0.625</v>
      </c>
      <c r="I71" s="99">
        <v>5</v>
      </c>
      <c r="J71" s="99"/>
      <c r="K71" s="99"/>
      <c r="L71" s="46"/>
    </row>
    <row r="72" spans="1:12" x14ac:dyDescent="0.25">
      <c r="A72" s="2">
        <v>69</v>
      </c>
      <c r="B72" s="101" t="s">
        <v>36</v>
      </c>
      <c r="C72" s="101" t="s">
        <v>22</v>
      </c>
      <c r="D72" s="101" t="s">
        <v>32</v>
      </c>
      <c r="E72" s="102" t="s">
        <v>51</v>
      </c>
      <c r="F72" s="101" t="s">
        <v>105</v>
      </c>
      <c r="G72" s="102" t="str">
        <f t="shared" si="0"/>
        <v>ModificaciónCTCoreServicioTrivial</v>
      </c>
      <c r="H72" s="101">
        <f t="shared" si="1"/>
        <v>3.125E-2</v>
      </c>
      <c r="I72" s="101">
        <v>0.25</v>
      </c>
      <c r="J72" s="101"/>
      <c r="K72" s="101"/>
      <c r="L72" s="46"/>
    </row>
    <row r="73" spans="1:12" x14ac:dyDescent="0.25">
      <c r="A73" s="2">
        <v>70</v>
      </c>
      <c r="B73" s="101" t="s">
        <v>36</v>
      </c>
      <c r="C73" s="101" t="s">
        <v>22</v>
      </c>
      <c r="D73" s="101" t="s">
        <v>32</v>
      </c>
      <c r="E73" s="102" t="s">
        <v>51</v>
      </c>
      <c r="F73" s="101" t="s">
        <v>39</v>
      </c>
      <c r="G73" s="102" t="str">
        <f t="shared" ref="G73" si="33">CONCATENATE(B73,C73,D73,E73,F73)</f>
        <v>ModificaciónCTCoreServicioBaja</v>
      </c>
      <c r="H73" s="101">
        <f t="shared" ref="H73" si="34">I73/8</f>
        <v>0.125</v>
      </c>
      <c r="I73" s="101">
        <v>1</v>
      </c>
      <c r="J73" s="101"/>
      <c r="K73" s="101"/>
      <c r="L73" s="46"/>
    </row>
    <row r="74" spans="1:12" x14ac:dyDescent="0.25">
      <c r="A74" s="2">
        <v>71</v>
      </c>
      <c r="B74" s="101" t="s">
        <v>36</v>
      </c>
      <c r="C74" s="101" t="s">
        <v>22</v>
      </c>
      <c r="D74" s="101" t="s">
        <v>32</v>
      </c>
      <c r="E74" s="102" t="s">
        <v>51</v>
      </c>
      <c r="F74" s="101" t="s">
        <v>38</v>
      </c>
      <c r="G74" s="102" t="str">
        <f t="shared" si="0"/>
        <v>ModificaciónCTCoreServicioMedia</v>
      </c>
      <c r="H74" s="101">
        <f t="shared" si="1"/>
        <v>0.25</v>
      </c>
      <c r="I74" s="101">
        <v>2</v>
      </c>
      <c r="J74" s="101"/>
      <c r="K74" s="101"/>
      <c r="L74" s="46"/>
    </row>
    <row r="75" spans="1:12" x14ac:dyDescent="0.25">
      <c r="A75" s="2">
        <v>72</v>
      </c>
      <c r="B75" s="101" t="s">
        <v>36</v>
      </c>
      <c r="C75" s="101" t="s">
        <v>22</v>
      </c>
      <c r="D75" s="101" t="s">
        <v>32</v>
      </c>
      <c r="E75" s="102" t="s">
        <v>51</v>
      </c>
      <c r="F75" s="101" t="s">
        <v>37</v>
      </c>
      <c r="G75" s="102" t="str">
        <f t="shared" si="0"/>
        <v>ModificaciónCTCoreServicioAlta</v>
      </c>
      <c r="H75" s="101">
        <f t="shared" si="1"/>
        <v>0.5</v>
      </c>
      <c r="I75" s="101">
        <v>4</v>
      </c>
      <c r="J75" s="101"/>
      <c r="K75" s="101"/>
      <c r="L75" s="46"/>
    </row>
    <row r="76" spans="1:12" x14ac:dyDescent="0.25">
      <c r="A76" s="2">
        <v>73</v>
      </c>
      <c r="B76" s="99" t="s">
        <v>36</v>
      </c>
      <c r="C76" s="99" t="s">
        <v>22</v>
      </c>
      <c r="D76" s="99" t="s">
        <v>32</v>
      </c>
      <c r="E76" s="100" t="s">
        <v>52</v>
      </c>
      <c r="F76" s="99" t="s">
        <v>105</v>
      </c>
      <c r="G76" s="100" t="str">
        <f t="shared" si="0"/>
        <v>ModificaciónCTCoreDAOTrivial</v>
      </c>
      <c r="H76" s="99">
        <f t="shared" si="1"/>
        <v>3.125E-2</v>
      </c>
      <c r="I76" s="99">
        <v>0.25</v>
      </c>
      <c r="J76" s="99"/>
      <c r="K76" s="99"/>
      <c r="L76" s="46"/>
    </row>
    <row r="77" spans="1:12" x14ac:dyDescent="0.25">
      <c r="A77" s="2">
        <v>74</v>
      </c>
      <c r="B77" s="99" t="s">
        <v>36</v>
      </c>
      <c r="C77" s="99" t="s">
        <v>22</v>
      </c>
      <c r="D77" s="99" t="s">
        <v>32</v>
      </c>
      <c r="E77" s="100" t="s">
        <v>52</v>
      </c>
      <c r="F77" s="99" t="s">
        <v>39</v>
      </c>
      <c r="G77" s="100" t="str">
        <f t="shared" ref="G77" si="35">CONCATENATE(B77,C77,D77,E77,F77)</f>
        <v>ModificaciónCTCoreDAOBaja</v>
      </c>
      <c r="H77" s="99">
        <f t="shared" ref="H77" si="36">I77/8</f>
        <v>0.25</v>
      </c>
      <c r="I77" s="99">
        <v>2</v>
      </c>
      <c r="J77" s="99"/>
      <c r="K77" s="99"/>
      <c r="L77" s="46"/>
    </row>
    <row r="78" spans="1:12" x14ac:dyDescent="0.25">
      <c r="A78" s="2">
        <v>75</v>
      </c>
      <c r="B78" s="99" t="s">
        <v>36</v>
      </c>
      <c r="C78" s="99" t="s">
        <v>22</v>
      </c>
      <c r="D78" s="99" t="s">
        <v>32</v>
      </c>
      <c r="E78" s="100" t="s">
        <v>52</v>
      </c>
      <c r="F78" s="99" t="s">
        <v>38</v>
      </c>
      <c r="G78" s="100" t="str">
        <f t="shared" si="0"/>
        <v>ModificaciónCTCoreDAOMedia</v>
      </c>
      <c r="H78" s="99">
        <f t="shared" si="1"/>
        <v>0.5</v>
      </c>
      <c r="I78" s="99">
        <v>4</v>
      </c>
      <c r="J78" s="99"/>
      <c r="K78" s="99"/>
      <c r="L78" s="46"/>
    </row>
    <row r="79" spans="1:12" x14ac:dyDescent="0.25">
      <c r="A79" s="2">
        <v>76</v>
      </c>
      <c r="B79" s="99" t="s">
        <v>36</v>
      </c>
      <c r="C79" s="99" t="s">
        <v>22</v>
      </c>
      <c r="D79" s="99" t="s">
        <v>32</v>
      </c>
      <c r="E79" s="100" t="s">
        <v>52</v>
      </c>
      <c r="F79" s="99" t="s">
        <v>37</v>
      </c>
      <c r="G79" s="100" t="str">
        <f t="shared" si="0"/>
        <v>ModificaciónCTCoreDAOAlta</v>
      </c>
      <c r="H79" s="99">
        <f t="shared" si="1"/>
        <v>0.75</v>
      </c>
      <c r="I79" s="99">
        <v>6</v>
      </c>
      <c r="J79" s="99"/>
      <c r="K79" s="99"/>
      <c r="L79" s="46"/>
    </row>
    <row r="80" spans="1:12" x14ac:dyDescent="0.25">
      <c r="A80" s="2">
        <v>77</v>
      </c>
      <c r="B80" s="101" t="s">
        <v>36</v>
      </c>
      <c r="C80" s="101" t="s">
        <v>22</v>
      </c>
      <c r="D80" s="101" t="s">
        <v>32</v>
      </c>
      <c r="E80" s="102" t="s">
        <v>59</v>
      </c>
      <c r="F80" s="101" t="s">
        <v>105</v>
      </c>
      <c r="G80" s="102" t="str">
        <f t="shared" ref="G80:G83" si="37">CONCATENATE(B80,C80,D80,E80,F80)</f>
        <v>ModificaciónCTCoreBOTrivial</v>
      </c>
      <c r="H80" s="101">
        <f t="shared" si="1"/>
        <v>3.125E-2</v>
      </c>
      <c r="I80" s="101">
        <v>0.25</v>
      </c>
      <c r="J80" s="101"/>
      <c r="K80" s="101"/>
      <c r="L80" s="46"/>
    </row>
    <row r="81" spans="1:14" x14ac:dyDescent="0.25">
      <c r="A81" s="2">
        <v>78</v>
      </c>
      <c r="B81" s="101" t="s">
        <v>36</v>
      </c>
      <c r="C81" s="101" t="s">
        <v>22</v>
      </c>
      <c r="D81" s="101" t="s">
        <v>32</v>
      </c>
      <c r="E81" s="102" t="s">
        <v>59</v>
      </c>
      <c r="F81" s="101" t="s">
        <v>39</v>
      </c>
      <c r="G81" s="102" t="str">
        <f t="shared" ref="G81" si="38">CONCATENATE(B81,C81,D81,E81,F81)</f>
        <v>ModificaciónCTCoreBOBaja</v>
      </c>
      <c r="H81" s="101">
        <f t="shared" ref="H81" si="39">I81/8</f>
        <v>6.25E-2</v>
      </c>
      <c r="I81" s="101">
        <v>0.5</v>
      </c>
      <c r="J81" s="101"/>
      <c r="K81" s="101"/>
      <c r="L81" s="46"/>
    </row>
    <row r="82" spans="1:14" x14ac:dyDescent="0.25">
      <c r="A82" s="2">
        <v>79</v>
      </c>
      <c r="B82" s="101" t="s">
        <v>36</v>
      </c>
      <c r="C82" s="101" t="s">
        <v>22</v>
      </c>
      <c r="D82" s="101" t="s">
        <v>32</v>
      </c>
      <c r="E82" s="102" t="s">
        <v>59</v>
      </c>
      <c r="F82" s="101" t="s">
        <v>38</v>
      </c>
      <c r="G82" s="102" t="str">
        <f t="shared" si="37"/>
        <v>ModificaciónCTCoreBOMedia</v>
      </c>
      <c r="H82" s="101">
        <f t="shared" si="1"/>
        <v>9.375E-2</v>
      </c>
      <c r="I82" s="101">
        <v>0.75</v>
      </c>
      <c r="J82" s="101"/>
      <c r="K82" s="101"/>
      <c r="L82" s="46"/>
    </row>
    <row r="83" spans="1:14" x14ac:dyDescent="0.25">
      <c r="A83" s="2">
        <v>80</v>
      </c>
      <c r="B83" s="101" t="s">
        <v>36</v>
      </c>
      <c r="C83" s="101" t="s">
        <v>22</v>
      </c>
      <c r="D83" s="101" t="s">
        <v>32</v>
      </c>
      <c r="E83" s="102" t="s">
        <v>59</v>
      </c>
      <c r="F83" s="101" t="s">
        <v>37</v>
      </c>
      <c r="G83" s="102" t="str">
        <f t="shared" si="37"/>
        <v>ModificaciónCTCoreBOAlta</v>
      </c>
      <c r="H83" s="101">
        <f t="shared" si="1"/>
        <v>0.125</v>
      </c>
      <c r="I83" s="101">
        <v>1</v>
      </c>
      <c r="J83" s="101"/>
      <c r="K83" s="101"/>
      <c r="L83" s="46"/>
    </row>
    <row r="84" spans="1:14" x14ac:dyDescent="0.25">
      <c r="A84" s="2">
        <v>81</v>
      </c>
      <c r="B84" s="99" t="s">
        <v>36</v>
      </c>
      <c r="C84" s="99" t="s">
        <v>22</v>
      </c>
      <c r="D84" s="99" t="s">
        <v>32</v>
      </c>
      <c r="E84" s="100" t="s">
        <v>60</v>
      </c>
      <c r="F84" s="99" t="s">
        <v>105</v>
      </c>
      <c r="G84" s="100" t="str">
        <f t="shared" si="0"/>
        <v>ModificaciónCTCoreJASPERTrivial</v>
      </c>
      <c r="H84" s="99">
        <f t="shared" si="1"/>
        <v>3.125E-2</v>
      </c>
      <c r="I84" s="99">
        <v>0.25</v>
      </c>
      <c r="J84" s="99"/>
      <c r="K84" s="99"/>
      <c r="L84" s="46"/>
    </row>
    <row r="85" spans="1:14" x14ac:dyDescent="0.25">
      <c r="A85" s="2">
        <v>82</v>
      </c>
      <c r="B85" s="99" t="s">
        <v>36</v>
      </c>
      <c r="C85" s="99" t="s">
        <v>22</v>
      </c>
      <c r="D85" s="99" t="s">
        <v>32</v>
      </c>
      <c r="E85" s="100" t="s">
        <v>60</v>
      </c>
      <c r="F85" s="99" t="s">
        <v>39</v>
      </c>
      <c r="G85" s="100" t="str">
        <f t="shared" ref="G85" si="40">CONCATENATE(B85,C85,D85,E85,F85)</f>
        <v>ModificaciónCTCoreJASPERBaja</v>
      </c>
      <c r="H85" s="99">
        <f t="shared" ref="H85" si="41">I85/8</f>
        <v>0.375</v>
      </c>
      <c r="I85" s="99">
        <v>3</v>
      </c>
      <c r="J85" s="99"/>
      <c r="K85" s="99"/>
      <c r="L85" s="46"/>
    </row>
    <row r="86" spans="1:14" x14ac:dyDescent="0.25">
      <c r="A86" s="2">
        <v>83</v>
      </c>
      <c r="B86" s="99" t="s">
        <v>36</v>
      </c>
      <c r="C86" s="99" t="s">
        <v>22</v>
      </c>
      <c r="D86" s="99" t="s">
        <v>32</v>
      </c>
      <c r="E86" s="100" t="s">
        <v>60</v>
      </c>
      <c r="F86" s="99" t="s">
        <v>38</v>
      </c>
      <c r="G86" s="100" t="str">
        <f t="shared" si="0"/>
        <v>ModificaciónCTCoreJASPERMedia</v>
      </c>
      <c r="H86" s="99">
        <f t="shared" si="1"/>
        <v>0.5</v>
      </c>
      <c r="I86" s="99">
        <v>4</v>
      </c>
      <c r="J86" s="99"/>
      <c r="K86" s="99"/>
      <c r="L86" s="46"/>
    </row>
    <row r="87" spans="1:14" x14ac:dyDescent="0.25">
      <c r="A87" s="2">
        <v>84</v>
      </c>
      <c r="B87" s="99" t="s">
        <v>36</v>
      </c>
      <c r="C87" s="99" t="s">
        <v>22</v>
      </c>
      <c r="D87" s="99" t="s">
        <v>32</v>
      </c>
      <c r="E87" s="100" t="s">
        <v>60</v>
      </c>
      <c r="F87" s="99" t="s">
        <v>37</v>
      </c>
      <c r="G87" s="100" t="str">
        <f t="shared" si="0"/>
        <v>ModificaciónCTCoreJASPERAlta</v>
      </c>
      <c r="H87" s="99">
        <f t="shared" si="1"/>
        <v>1</v>
      </c>
      <c r="I87" s="99">
        <v>8</v>
      </c>
      <c r="J87" s="99"/>
      <c r="K87" s="99"/>
      <c r="L87" s="46"/>
    </row>
    <row r="88" spans="1:14" x14ac:dyDescent="0.25">
      <c r="A88" s="2">
        <v>85</v>
      </c>
      <c r="B88" s="101" t="s">
        <v>36</v>
      </c>
      <c r="C88" s="101" t="s">
        <v>22</v>
      </c>
      <c r="D88" s="101" t="s">
        <v>32</v>
      </c>
      <c r="E88" s="102" t="s">
        <v>61</v>
      </c>
      <c r="F88" s="101" t="s">
        <v>105</v>
      </c>
      <c r="G88" s="102" t="str">
        <f t="shared" si="0"/>
        <v>ModificaciónCTCorePOITrivial</v>
      </c>
      <c r="H88" s="101">
        <f t="shared" si="1"/>
        <v>3.125E-2</v>
      </c>
      <c r="I88" s="101">
        <v>0.25</v>
      </c>
      <c r="J88" s="101"/>
      <c r="K88" s="101"/>
      <c r="L88" s="46"/>
    </row>
    <row r="89" spans="1:14" x14ac:dyDescent="0.25">
      <c r="A89" s="2">
        <v>86</v>
      </c>
      <c r="B89" s="101" t="s">
        <v>36</v>
      </c>
      <c r="C89" s="101" t="s">
        <v>22</v>
      </c>
      <c r="D89" s="101" t="s">
        <v>32</v>
      </c>
      <c r="E89" s="102" t="s">
        <v>61</v>
      </c>
      <c r="F89" s="101" t="s">
        <v>39</v>
      </c>
      <c r="G89" s="102" t="str">
        <f t="shared" ref="G89" si="42">CONCATENATE(B89,C89,D89,E89,F89)</f>
        <v>ModificaciónCTCorePOIBaja</v>
      </c>
      <c r="H89" s="101">
        <f t="shared" ref="H89" si="43">I89/8</f>
        <v>0.125</v>
      </c>
      <c r="I89" s="101">
        <v>1</v>
      </c>
      <c r="J89" s="101"/>
      <c r="K89" s="101"/>
      <c r="L89" s="46"/>
    </row>
    <row r="90" spans="1:14" x14ac:dyDescent="0.25">
      <c r="A90" s="2">
        <v>87</v>
      </c>
      <c r="B90" s="101" t="s">
        <v>36</v>
      </c>
      <c r="C90" s="101" t="s">
        <v>22</v>
      </c>
      <c r="D90" s="101" t="s">
        <v>32</v>
      </c>
      <c r="E90" s="102" t="s">
        <v>61</v>
      </c>
      <c r="F90" s="101" t="s">
        <v>38</v>
      </c>
      <c r="G90" s="102" t="str">
        <f t="shared" si="0"/>
        <v>ModificaciónCTCorePOIMedia</v>
      </c>
      <c r="H90" s="101">
        <f t="shared" si="1"/>
        <v>0.375</v>
      </c>
      <c r="I90" s="101">
        <v>3</v>
      </c>
      <c r="J90" s="101"/>
      <c r="K90" s="101"/>
      <c r="L90" s="46"/>
    </row>
    <row r="91" spans="1:14" x14ac:dyDescent="0.25">
      <c r="A91" s="2">
        <v>88</v>
      </c>
      <c r="B91" s="101" t="s">
        <v>36</v>
      </c>
      <c r="C91" s="101" t="s">
        <v>22</v>
      </c>
      <c r="D91" s="101" t="s">
        <v>32</v>
      </c>
      <c r="E91" s="102" t="s">
        <v>61</v>
      </c>
      <c r="F91" s="101" t="s">
        <v>37</v>
      </c>
      <c r="G91" s="102" t="str">
        <f t="shared" si="0"/>
        <v>ModificaciónCTCorePOIAlta</v>
      </c>
      <c r="H91" s="101">
        <f t="shared" si="1"/>
        <v>0.625</v>
      </c>
      <c r="I91" s="101">
        <v>5</v>
      </c>
      <c r="J91" s="101"/>
      <c r="K91" s="101"/>
      <c r="L91" s="46"/>
    </row>
    <row r="92" spans="1:14" x14ac:dyDescent="0.25">
      <c r="A92" s="2">
        <v>89</v>
      </c>
      <c r="B92" s="99" t="s">
        <v>36</v>
      </c>
      <c r="C92" s="99" t="s">
        <v>22</v>
      </c>
      <c r="D92" s="99" t="s">
        <v>32</v>
      </c>
      <c r="E92" s="100" t="s">
        <v>63</v>
      </c>
      <c r="F92" s="99" t="s">
        <v>105</v>
      </c>
      <c r="G92" s="100" t="str">
        <f>CONCATENATE(B92,C92,D92,E92,F92)</f>
        <v>ModificaciónCTCoreJUNITTrivial</v>
      </c>
      <c r="H92" s="99">
        <f t="shared" si="1"/>
        <v>3.125E-2</v>
      </c>
      <c r="I92" s="99">
        <v>0.25</v>
      </c>
      <c r="J92" s="99"/>
      <c r="K92" s="99"/>
      <c r="L92" s="46"/>
    </row>
    <row r="93" spans="1:14" x14ac:dyDescent="0.25">
      <c r="A93" s="2">
        <v>90</v>
      </c>
      <c r="B93" s="99" t="s">
        <v>36</v>
      </c>
      <c r="C93" s="99" t="s">
        <v>22</v>
      </c>
      <c r="D93" s="99" t="s">
        <v>32</v>
      </c>
      <c r="E93" s="100" t="s">
        <v>63</v>
      </c>
      <c r="F93" s="99" t="s">
        <v>39</v>
      </c>
      <c r="G93" s="100" t="str">
        <f>CONCATENATE(B93,C93,D93,E93,F93)</f>
        <v>ModificaciónCTCoreJUNITBaja</v>
      </c>
      <c r="H93" s="99">
        <f t="shared" ref="H93" si="44">I93/8</f>
        <v>0.125</v>
      </c>
      <c r="I93" s="99">
        <v>1</v>
      </c>
      <c r="J93" s="99"/>
      <c r="K93" s="99"/>
      <c r="L93" s="46"/>
    </row>
    <row r="94" spans="1:14" x14ac:dyDescent="0.25">
      <c r="A94" s="2">
        <v>91</v>
      </c>
      <c r="B94" s="99" t="s">
        <v>36</v>
      </c>
      <c r="C94" s="99" t="s">
        <v>22</v>
      </c>
      <c r="D94" s="99" t="s">
        <v>32</v>
      </c>
      <c r="E94" s="100" t="s">
        <v>63</v>
      </c>
      <c r="F94" s="99" t="s">
        <v>38</v>
      </c>
      <c r="G94" s="100" t="str">
        <f>CONCATENATE(B94,C94,D94,E94,F94)</f>
        <v>ModificaciónCTCoreJUNITMedia</v>
      </c>
      <c r="H94" s="99">
        <f t="shared" si="1"/>
        <v>0.375</v>
      </c>
      <c r="I94" s="99">
        <v>3</v>
      </c>
      <c r="J94" s="99"/>
      <c r="K94" s="99"/>
      <c r="L94" s="46"/>
    </row>
    <row r="95" spans="1:14" x14ac:dyDescent="0.25">
      <c r="A95" s="2">
        <v>92</v>
      </c>
      <c r="B95" s="99" t="s">
        <v>36</v>
      </c>
      <c r="C95" s="99" t="s">
        <v>22</v>
      </c>
      <c r="D95" s="99" t="s">
        <v>32</v>
      </c>
      <c r="E95" s="100" t="s">
        <v>63</v>
      </c>
      <c r="F95" s="99" t="s">
        <v>37</v>
      </c>
      <c r="G95" s="100" t="str">
        <f t="shared" ref="G95" si="45">CONCATENATE(B95,C95,D95,E95,F95)</f>
        <v>ModificaciónCTCoreJUNITAlta</v>
      </c>
      <c r="H95" s="99">
        <f t="shared" si="1"/>
        <v>0.75</v>
      </c>
      <c r="I95" s="99">
        <v>6</v>
      </c>
      <c r="J95" s="99"/>
      <c r="K95" s="99"/>
      <c r="L95" s="46"/>
    </row>
    <row r="96" spans="1:14" x14ac:dyDescent="0.25">
      <c r="A96" s="2">
        <v>93</v>
      </c>
      <c r="B96" s="101" t="s">
        <v>36</v>
      </c>
      <c r="C96" s="101" t="s">
        <v>22</v>
      </c>
      <c r="D96" s="101" t="s">
        <v>32</v>
      </c>
      <c r="E96" s="102" t="s">
        <v>89</v>
      </c>
      <c r="F96" s="101" t="s">
        <v>105</v>
      </c>
      <c r="G96" s="102" t="str">
        <f t="shared" ref="G96:G99" si="46">CONCATENATE(B96,C96,D96,E96,F96)</f>
        <v>ModificaciónCTCoreRefactor codigoTrivial</v>
      </c>
      <c r="H96" s="101">
        <f t="shared" si="1"/>
        <v>3.125E-2</v>
      </c>
      <c r="I96" s="101">
        <v>0.25</v>
      </c>
      <c r="J96" s="101"/>
      <c r="K96" s="101"/>
      <c r="L96" s="46"/>
      <c r="M96" s="46"/>
      <c r="N96" s="46"/>
    </row>
    <row r="97" spans="1:14" x14ac:dyDescent="0.25">
      <c r="A97" s="2">
        <v>94</v>
      </c>
      <c r="B97" s="101" t="s">
        <v>36</v>
      </c>
      <c r="C97" s="101" t="s">
        <v>22</v>
      </c>
      <c r="D97" s="101" t="s">
        <v>32</v>
      </c>
      <c r="E97" s="102" t="s">
        <v>89</v>
      </c>
      <c r="F97" s="101" t="s">
        <v>39</v>
      </c>
      <c r="G97" s="102" t="str">
        <f t="shared" ref="G97" si="47">CONCATENATE(B97,C97,D97,E97,F97)</f>
        <v>ModificaciónCTCoreRefactor codigoBaja</v>
      </c>
      <c r="H97" s="101">
        <f t="shared" ref="H97" si="48">I97/8</f>
        <v>0.5</v>
      </c>
      <c r="I97" s="101">
        <v>4</v>
      </c>
      <c r="J97" s="101"/>
      <c r="K97" s="101"/>
      <c r="L97" s="46"/>
      <c r="M97" s="46"/>
      <c r="N97" s="46"/>
    </row>
    <row r="98" spans="1:14" x14ac:dyDescent="0.25">
      <c r="A98" s="2">
        <v>95</v>
      </c>
      <c r="B98" s="101" t="s">
        <v>36</v>
      </c>
      <c r="C98" s="101" t="s">
        <v>22</v>
      </c>
      <c r="D98" s="101" t="s">
        <v>32</v>
      </c>
      <c r="E98" s="102" t="s">
        <v>89</v>
      </c>
      <c r="F98" s="101" t="s">
        <v>38</v>
      </c>
      <c r="G98" s="102" t="str">
        <f t="shared" si="46"/>
        <v>ModificaciónCTCoreRefactor codigoMedia</v>
      </c>
      <c r="H98" s="101">
        <f t="shared" si="1"/>
        <v>0.875</v>
      </c>
      <c r="I98" s="101">
        <v>7</v>
      </c>
      <c r="J98" s="101"/>
      <c r="K98" s="101"/>
      <c r="L98" s="46"/>
      <c r="M98" s="46"/>
      <c r="N98" s="46"/>
    </row>
    <row r="99" spans="1:14" x14ac:dyDescent="0.25">
      <c r="A99" s="2">
        <v>96</v>
      </c>
      <c r="B99" s="101" t="s">
        <v>36</v>
      </c>
      <c r="C99" s="101" t="s">
        <v>22</v>
      </c>
      <c r="D99" s="101" t="s">
        <v>32</v>
      </c>
      <c r="E99" s="102" t="s">
        <v>89</v>
      </c>
      <c r="F99" s="101" t="s">
        <v>37</v>
      </c>
      <c r="G99" s="102" t="str">
        <f t="shared" si="46"/>
        <v>ModificaciónCTCoreRefactor codigoAlta</v>
      </c>
      <c r="H99" s="101">
        <f t="shared" si="1"/>
        <v>1.375</v>
      </c>
      <c r="I99" s="101">
        <v>11</v>
      </c>
      <c r="J99" s="101"/>
      <c r="K99" s="101"/>
      <c r="L99" s="46"/>
      <c r="M99" s="46"/>
      <c r="N99" s="46"/>
    </row>
    <row r="100" spans="1:14" x14ac:dyDescent="0.25">
      <c r="A100" s="2">
        <v>97</v>
      </c>
      <c r="B100" s="99" t="s">
        <v>36</v>
      </c>
      <c r="C100" s="99" t="s">
        <v>22</v>
      </c>
      <c r="D100" s="99" t="s">
        <v>112</v>
      </c>
      <c r="E100" s="100" t="s">
        <v>91</v>
      </c>
      <c r="F100" s="99" t="s">
        <v>105</v>
      </c>
      <c r="G100" s="100" t="str">
        <f t="shared" si="0"/>
        <v>ModificaciónCTAPI_RESTServicio APITrivial</v>
      </c>
      <c r="H100" s="99">
        <f t="shared" si="1"/>
        <v>3.125E-2</v>
      </c>
      <c r="I100" s="99">
        <v>0.25</v>
      </c>
      <c r="J100" s="99"/>
      <c r="K100" s="99"/>
      <c r="L100" s="46"/>
      <c r="M100" s="46"/>
      <c r="N100" s="46"/>
    </row>
    <row r="101" spans="1:14" x14ac:dyDescent="0.25">
      <c r="A101" s="2">
        <v>98</v>
      </c>
      <c r="B101" s="99" t="s">
        <v>36</v>
      </c>
      <c r="C101" s="99" t="s">
        <v>22</v>
      </c>
      <c r="D101" s="99" t="s">
        <v>112</v>
      </c>
      <c r="E101" s="100" t="s">
        <v>91</v>
      </c>
      <c r="F101" s="99" t="s">
        <v>39</v>
      </c>
      <c r="G101" s="100" t="str">
        <f t="shared" ref="G101" si="49">CONCATENATE(B101,C101,D101,E101,F101)</f>
        <v>ModificaciónCTAPI_RESTServicio APIBaja</v>
      </c>
      <c r="H101" s="99">
        <f t="shared" ref="H101" si="50">I101/8</f>
        <v>0.125</v>
      </c>
      <c r="I101" s="99">
        <v>1</v>
      </c>
      <c r="J101" s="99"/>
      <c r="K101" s="99"/>
      <c r="L101" s="46"/>
      <c r="M101" s="46"/>
      <c r="N101" s="46"/>
    </row>
    <row r="102" spans="1:14" x14ac:dyDescent="0.25">
      <c r="A102" s="2">
        <v>99</v>
      </c>
      <c r="B102" s="99" t="s">
        <v>36</v>
      </c>
      <c r="C102" s="99" t="s">
        <v>22</v>
      </c>
      <c r="D102" s="99" t="s">
        <v>112</v>
      </c>
      <c r="E102" s="100" t="s">
        <v>91</v>
      </c>
      <c r="F102" s="99" t="s">
        <v>38</v>
      </c>
      <c r="G102" s="100" t="str">
        <f t="shared" si="0"/>
        <v>ModificaciónCTAPI_RESTServicio APIMedia</v>
      </c>
      <c r="H102" s="99">
        <f t="shared" ref="H102:H111" si="51">I102/8</f>
        <v>0.375</v>
      </c>
      <c r="I102" s="99">
        <v>3</v>
      </c>
      <c r="J102" s="99"/>
      <c r="K102" s="99"/>
      <c r="L102" s="46"/>
      <c r="M102" s="46"/>
      <c r="N102" s="46"/>
    </row>
    <row r="103" spans="1:14" x14ac:dyDescent="0.25">
      <c r="A103" s="2">
        <v>100</v>
      </c>
      <c r="B103" s="99" t="s">
        <v>36</v>
      </c>
      <c r="C103" s="99" t="s">
        <v>22</v>
      </c>
      <c r="D103" s="99" t="s">
        <v>112</v>
      </c>
      <c r="E103" s="100" t="s">
        <v>91</v>
      </c>
      <c r="F103" s="99" t="s">
        <v>37</v>
      </c>
      <c r="G103" s="100" t="str">
        <f t="shared" si="0"/>
        <v>ModificaciónCTAPI_RESTServicio APIAlta</v>
      </c>
      <c r="H103" s="99">
        <f t="shared" si="51"/>
        <v>0.625</v>
      </c>
      <c r="I103" s="99">
        <v>5</v>
      </c>
      <c r="J103" s="99"/>
      <c r="K103" s="99"/>
      <c r="L103" s="46"/>
      <c r="M103" s="46"/>
      <c r="N103" s="46"/>
    </row>
    <row r="104" spans="1:14" x14ac:dyDescent="0.25">
      <c r="A104" s="2">
        <v>101</v>
      </c>
      <c r="B104" s="101" t="s">
        <v>36</v>
      </c>
      <c r="C104" s="101" t="s">
        <v>22</v>
      </c>
      <c r="D104" s="101" t="s">
        <v>112</v>
      </c>
      <c r="E104" s="102" t="s">
        <v>56</v>
      </c>
      <c r="F104" s="101" t="s">
        <v>105</v>
      </c>
      <c r="G104" s="102" t="str">
        <f t="shared" si="0"/>
        <v>ModificaciónCTAPI_RESTDTOTrivial</v>
      </c>
      <c r="H104" s="101">
        <f t="shared" si="51"/>
        <v>3.125E-2</v>
      </c>
      <c r="I104" s="101">
        <v>0.25</v>
      </c>
      <c r="J104" s="101"/>
      <c r="K104" s="101"/>
      <c r="L104" s="46"/>
      <c r="M104" s="46"/>
      <c r="N104" s="46"/>
    </row>
    <row r="105" spans="1:14" x14ac:dyDescent="0.25">
      <c r="A105" s="2">
        <v>102</v>
      </c>
      <c r="B105" s="101" t="s">
        <v>36</v>
      </c>
      <c r="C105" s="101" t="s">
        <v>22</v>
      </c>
      <c r="D105" s="101" t="s">
        <v>112</v>
      </c>
      <c r="E105" s="102" t="s">
        <v>56</v>
      </c>
      <c r="F105" s="101" t="s">
        <v>39</v>
      </c>
      <c r="G105" s="102" t="str">
        <f t="shared" ref="G105" si="52">CONCATENATE(B105,C105,D105,E105,F105)</f>
        <v>ModificaciónCTAPI_RESTDTOBaja</v>
      </c>
      <c r="H105" s="101">
        <f t="shared" ref="H105" si="53">I105/8</f>
        <v>0.125</v>
      </c>
      <c r="I105" s="101">
        <v>1</v>
      </c>
      <c r="J105" s="101"/>
      <c r="K105" s="101"/>
      <c r="L105" s="46"/>
      <c r="M105" s="46"/>
      <c r="N105" s="46"/>
    </row>
    <row r="106" spans="1:14" x14ac:dyDescent="0.25">
      <c r="A106" s="2">
        <v>103</v>
      </c>
      <c r="B106" s="101" t="s">
        <v>36</v>
      </c>
      <c r="C106" s="101" t="s">
        <v>22</v>
      </c>
      <c r="D106" s="101" t="s">
        <v>112</v>
      </c>
      <c r="E106" s="102" t="s">
        <v>56</v>
      </c>
      <c r="F106" s="101" t="s">
        <v>38</v>
      </c>
      <c r="G106" s="102" t="str">
        <f t="shared" si="0"/>
        <v>ModificaciónCTAPI_RESTDTOMedia</v>
      </c>
      <c r="H106" s="101">
        <f t="shared" si="51"/>
        <v>0.125</v>
      </c>
      <c r="I106" s="101">
        <v>1</v>
      </c>
      <c r="J106" s="101"/>
      <c r="K106" s="101"/>
      <c r="L106" s="46"/>
      <c r="M106" s="46"/>
      <c r="N106" s="46"/>
    </row>
    <row r="107" spans="1:14" x14ac:dyDescent="0.25">
      <c r="A107" s="2">
        <v>104</v>
      </c>
      <c r="B107" s="101" t="s">
        <v>36</v>
      </c>
      <c r="C107" s="101" t="s">
        <v>22</v>
      </c>
      <c r="D107" s="101" t="s">
        <v>112</v>
      </c>
      <c r="E107" s="102" t="s">
        <v>56</v>
      </c>
      <c r="F107" s="101" t="s">
        <v>37</v>
      </c>
      <c r="G107" s="102" t="str">
        <f t="shared" si="0"/>
        <v>ModificaciónCTAPI_RESTDTOAlta</v>
      </c>
      <c r="H107" s="101">
        <f t="shared" si="51"/>
        <v>0.125</v>
      </c>
      <c r="I107" s="101">
        <v>1</v>
      </c>
      <c r="J107" s="101"/>
      <c r="K107" s="101"/>
      <c r="L107" s="46"/>
      <c r="M107" s="46"/>
      <c r="N107" s="46"/>
    </row>
    <row r="108" spans="1:14" x14ac:dyDescent="0.25">
      <c r="A108" s="2">
        <v>105</v>
      </c>
      <c r="B108" s="99" t="s">
        <v>36</v>
      </c>
      <c r="C108" s="99" t="s">
        <v>22</v>
      </c>
      <c r="D108" s="99" t="s">
        <v>112</v>
      </c>
      <c r="E108" s="100" t="s">
        <v>80</v>
      </c>
      <c r="F108" s="99" t="s">
        <v>105</v>
      </c>
      <c r="G108" s="100" t="str">
        <f t="shared" si="0"/>
        <v>ModificaciónCTAPI_RESTJUNIT ApiTrivial</v>
      </c>
      <c r="H108" s="99">
        <f t="shared" si="51"/>
        <v>0</v>
      </c>
      <c r="I108" s="99">
        <v>0</v>
      </c>
      <c r="J108" s="99"/>
      <c r="K108" s="99"/>
      <c r="L108" s="46"/>
      <c r="M108" s="46"/>
    </row>
    <row r="109" spans="1:14" x14ac:dyDescent="0.25">
      <c r="A109" s="2">
        <v>106</v>
      </c>
      <c r="B109" s="99" t="s">
        <v>36</v>
      </c>
      <c r="C109" s="99" t="s">
        <v>22</v>
      </c>
      <c r="D109" s="99" t="s">
        <v>112</v>
      </c>
      <c r="E109" s="100" t="s">
        <v>80</v>
      </c>
      <c r="F109" s="99" t="s">
        <v>39</v>
      </c>
      <c r="G109" s="100" t="str">
        <f t="shared" ref="G109" si="54">CONCATENATE(B109,C109,D109,E109,F109)</f>
        <v>ModificaciónCTAPI_RESTJUNIT ApiBaja</v>
      </c>
      <c r="H109" s="99">
        <f t="shared" ref="H109" si="55">I109/8</f>
        <v>0</v>
      </c>
      <c r="I109" s="99">
        <v>0</v>
      </c>
      <c r="J109" s="99"/>
      <c r="K109" s="99"/>
      <c r="L109" s="46"/>
      <c r="M109" s="46"/>
    </row>
    <row r="110" spans="1:14" x14ac:dyDescent="0.25">
      <c r="A110" s="2">
        <v>107</v>
      </c>
      <c r="B110" s="99" t="s">
        <v>36</v>
      </c>
      <c r="C110" s="99" t="s">
        <v>22</v>
      </c>
      <c r="D110" s="99" t="s">
        <v>112</v>
      </c>
      <c r="E110" s="100" t="s">
        <v>80</v>
      </c>
      <c r="F110" s="99" t="s">
        <v>38</v>
      </c>
      <c r="G110" s="100" t="str">
        <f t="shared" si="0"/>
        <v>ModificaciónCTAPI_RESTJUNIT ApiMedia</v>
      </c>
      <c r="H110" s="99">
        <f t="shared" si="51"/>
        <v>0</v>
      </c>
      <c r="I110" s="99">
        <v>0</v>
      </c>
      <c r="J110" s="99"/>
      <c r="K110" s="99"/>
      <c r="L110" s="46"/>
      <c r="M110" s="46"/>
    </row>
    <row r="111" spans="1:14" x14ac:dyDescent="0.25">
      <c r="A111" s="2">
        <v>108</v>
      </c>
      <c r="B111" s="99" t="s">
        <v>36</v>
      </c>
      <c r="C111" s="99" t="s">
        <v>22</v>
      </c>
      <c r="D111" s="99" t="s">
        <v>112</v>
      </c>
      <c r="E111" s="100" t="s">
        <v>80</v>
      </c>
      <c r="F111" s="99" t="s">
        <v>37</v>
      </c>
      <c r="G111" s="100" t="str">
        <f t="shared" si="0"/>
        <v>ModificaciónCTAPI_RESTJUNIT ApiAlta</v>
      </c>
      <c r="H111" s="99">
        <f t="shared" si="51"/>
        <v>0</v>
      </c>
      <c r="I111" s="99">
        <v>0</v>
      </c>
      <c r="J111" s="99"/>
      <c r="K111" s="99"/>
      <c r="L111" s="46"/>
      <c r="M111" s="46"/>
    </row>
    <row r="112" spans="1:14" x14ac:dyDescent="0.25">
      <c r="A112" s="2">
        <v>109</v>
      </c>
      <c r="B112" s="101" t="s">
        <v>36</v>
      </c>
      <c r="C112" s="101" t="s">
        <v>22</v>
      </c>
      <c r="D112" s="101" t="s">
        <v>112</v>
      </c>
      <c r="E112" s="102" t="s">
        <v>89</v>
      </c>
      <c r="F112" s="101" t="s">
        <v>105</v>
      </c>
      <c r="G112" s="102" t="str">
        <f t="shared" si="0"/>
        <v>ModificaciónCTAPI_RESTRefactor codigoTrivial</v>
      </c>
      <c r="H112" s="101">
        <f t="shared" ref="H112:H199" si="56">I112/8</f>
        <v>3.125E-2</v>
      </c>
      <c r="I112" s="101">
        <v>0.25</v>
      </c>
      <c r="J112" s="101"/>
      <c r="K112" s="101"/>
      <c r="L112" s="46"/>
      <c r="M112" s="46"/>
      <c r="N112" s="46"/>
    </row>
    <row r="113" spans="1:14" x14ac:dyDescent="0.25">
      <c r="A113" s="2">
        <v>110</v>
      </c>
      <c r="B113" s="101" t="s">
        <v>36</v>
      </c>
      <c r="C113" s="101" t="s">
        <v>22</v>
      </c>
      <c r="D113" s="101" t="s">
        <v>112</v>
      </c>
      <c r="E113" s="102" t="s">
        <v>89</v>
      </c>
      <c r="F113" s="101" t="s">
        <v>39</v>
      </c>
      <c r="G113" s="102" t="str">
        <f t="shared" ref="G113" si="57">CONCATENATE(B113,C113,D113,E113,F113)</f>
        <v>ModificaciónCTAPI_RESTRefactor codigoBaja</v>
      </c>
      <c r="H113" s="101">
        <f t="shared" ref="H113" si="58">I113/8</f>
        <v>0.375</v>
      </c>
      <c r="I113" s="101">
        <v>3</v>
      </c>
      <c r="J113" s="101"/>
      <c r="K113" s="101"/>
      <c r="L113" s="46"/>
      <c r="M113" s="46"/>
      <c r="N113" s="46"/>
    </row>
    <row r="114" spans="1:14" x14ac:dyDescent="0.25">
      <c r="A114" s="2">
        <v>111</v>
      </c>
      <c r="B114" s="101" t="s">
        <v>36</v>
      </c>
      <c r="C114" s="101" t="s">
        <v>22</v>
      </c>
      <c r="D114" s="101" t="s">
        <v>112</v>
      </c>
      <c r="E114" s="102" t="s">
        <v>89</v>
      </c>
      <c r="F114" s="101" t="s">
        <v>38</v>
      </c>
      <c r="G114" s="102" t="str">
        <f t="shared" si="0"/>
        <v>ModificaciónCTAPI_RESTRefactor codigoMedia</v>
      </c>
      <c r="H114" s="101">
        <f t="shared" si="56"/>
        <v>1</v>
      </c>
      <c r="I114" s="101">
        <v>8</v>
      </c>
      <c r="J114" s="101"/>
      <c r="K114" s="101"/>
      <c r="L114" s="46"/>
      <c r="M114" s="46"/>
      <c r="N114" s="46"/>
    </row>
    <row r="115" spans="1:14" x14ac:dyDescent="0.25">
      <c r="A115" s="2">
        <v>112</v>
      </c>
      <c r="B115" s="101" t="s">
        <v>36</v>
      </c>
      <c r="C115" s="101" t="s">
        <v>22</v>
      </c>
      <c r="D115" s="101" t="s">
        <v>112</v>
      </c>
      <c r="E115" s="102" t="s">
        <v>89</v>
      </c>
      <c r="F115" s="101" t="s">
        <v>37</v>
      </c>
      <c r="G115" s="102" t="str">
        <f t="shared" si="0"/>
        <v>ModificaciónCTAPI_RESTRefactor codigoAlta</v>
      </c>
      <c r="H115" s="101">
        <f t="shared" si="56"/>
        <v>1.75</v>
      </c>
      <c r="I115" s="101">
        <v>14</v>
      </c>
      <c r="J115" s="101"/>
      <c r="K115" s="101"/>
      <c r="L115" s="46"/>
      <c r="M115" s="46"/>
      <c r="N115" s="46"/>
    </row>
    <row r="116" spans="1:14" x14ac:dyDescent="0.25">
      <c r="A116" s="2">
        <v>113</v>
      </c>
      <c r="B116" s="99" t="s">
        <v>36</v>
      </c>
      <c r="C116" s="99" t="s">
        <v>22</v>
      </c>
      <c r="D116" s="99" t="s">
        <v>113</v>
      </c>
      <c r="E116" s="100" t="s">
        <v>91</v>
      </c>
      <c r="F116" s="99" t="s">
        <v>105</v>
      </c>
      <c r="G116" s="100" t="str">
        <f t="shared" ref="G116:G131" si="59">CONCATENATE(B116,C116,D116,E116,F116)</f>
        <v>ModificaciónCTAPI_SOAPServicio APITrivial</v>
      </c>
      <c r="H116" s="99">
        <f t="shared" si="56"/>
        <v>3.125E-2</v>
      </c>
      <c r="I116" s="99">
        <v>0.25</v>
      </c>
      <c r="J116" s="99"/>
      <c r="K116" s="99"/>
      <c r="L116" s="46"/>
      <c r="M116" s="46"/>
      <c r="N116" s="46"/>
    </row>
    <row r="117" spans="1:14" x14ac:dyDescent="0.25">
      <c r="A117" s="2">
        <v>114</v>
      </c>
      <c r="B117" s="99" t="s">
        <v>36</v>
      </c>
      <c r="C117" s="99" t="s">
        <v>22</v>
      </c>
      <c r="D117" s="99" t="s">
        <v>113</v>
      </c>
      <c r="E117" s="100" t="s">
        <v>91</v>
      </c>
      <c r="F117" s="99" t="s">
        <v>39</v>
      </c>
      <c r="G117" s="100" t="str">
        <f t="shared" si="59"/>
        <v>ModificaciónCTAPI_SOAPServicio APIBaja</v>
      </c>
      <c r="H117" s="99">
        <f t="shared" si="56"/>
        <v>0.25</v>
      </c>
      <c r="I117" s="99">
        <v>2</v>
      </c>
      <c r="J117" s="99"/>
      <c r="K117" s="99"/>
      <c r="L117" s="46"/>
      <c r="M117" s="46"/>
      <c r="N117" s="46"/>
    </row>
    <row r="118" spans="1:14" x14ac:dyDescent="0.25">
      <c r="A118" s="2">
        <v>115</v>
      </c>
      <c r="B118" s="99" t="s">
        <v>36</v>
      </c>
      <c r="C118" s="99" t="s">
        <v>22</v>
      </c>
      <c r="D118" s="99" t="s">
        <v>113</v>
      </c>
      <c r="E118" s="100" t="s">
        <v>91</v>
      </c>
      <c r="F118" s="99" t="s">
        <v>38</v>
      </c>
      <c r="G118" s="100" t="str">
        <f t="shared" si="59"/>
        <v>ModificaciónCTAPI_SOAPServicio APIMedia</v>
      </c>
      <c r="H118" s="99">
        <f t="shared" si="56"/>
        <v>0.5</v>
      </c>
      <c r="I118" s="99">
        <v>4</v>
      </c>
      <c r="J118" s="99"/>
      <c r="K118" s="99"/>
      <c r="L118" s="46"/>
      <c r="M118" s="46"/>
      <c r="N118" s="46"/>
    </row>
    <row r="119" spans="1:14" x14ac:dyDescent="0.25">
      <c r="A119" s="2">
        <v>116</v>
      </c>
      <c r="B119" s="99" t="s">
        <v>36</v>
      </c>
      <c r="C119" s="99" t="s">
        <v>22</v>
      </c>
      <c r="D119" s="99" t="s">
        <v>113</v>
      </c>
      <c r="E119" s="100" t="s">
        <v>91</v>
      </c>
      <c r="F119" s="99" t="s">
        <v>37</v>
      </c>
      <c r="G119" s="100" t="str">
        <f t="shared" si="59"/>
        <v>ModificaciónCTAPI_SOAPServicio APIAlta</v>
      </c>
      <c r="H119" s="99">
        <f t="shared" si="56"/>
        <v>0.75</v>
      </c>
      <c r="I119" s="99">
        <v>6</v>
      </c>
      <c r="J119" s="99"/>
      <c r="K119" s="99"/>
      <c r="L119" s="46"/>
      <c r="M119" s="46"/>
      <c r="N119" s="46"/>
    </row>
    <row r="120" spans="1:14" x14ac:dyDescent="0.25">
      <c r="A120" s="2">
        <v>117</v>
      </c>
      <c r="B120" s="101" t="s">
        <v>36</v>
      </c>
      <c r="C120" s="101" t="s">
        <v>22</v>
      </c>
      <c r="D120" s="101" t="s">
        <v>113</v>
      </c>
      <c r="E120" s="102" t="s">
        <v>56</v>
      </c>
      <c r="F120" s="101" t="s">
        <v>105</v>
      </c>
      <c r="G120" s="102" t="str">
        <f t="shared" si="59"/>
        <v>ModificaciónCTAPI_SOAPDTOTrivial</v>
      </c>
      <c r="H120" s="101">
        <f t="shared" si="56"/>
        <v>3.125E-2</v>
      </c>
      <c r="I120" s="101">
        <v>0.25</v>
      </c>
      <c r="J120" s="101"/>
      <c r="K120" s="101"/>
      <c r="L120" s="46"/>
      <c r="M120" s="46"/>
      <c r="N120" s="46"/>
    </row>
    <row r="121" spans="1:14" x14ac:dyDescent="0.25">
      <c r="A121" s="2">
        <v>118</v>
      </c>
      <c r="B121" s="101" t="s">
        <v>36</v>
      </c>
      <c r="C121" s="101" t="s">
        <v>22</v>
      </c>
      <c r="D121" s="101" t="s">
        <v>113</v>
      </c>
      <c r="E121" s="102" t="s">
        <v>56</v>
      </c>
      <c r="F121" s="101" t="s">
        <v>39</v>
      </c>
      <c r="G121" s="102" t="str">
        <f t="shared" si="59"/>
        <v>ModificaciónCTAPI_SOAPDTOBaja</v>
      </c>
      <c r="H121" s="101">
        <f t="shared" si="56"/>
        <v>0.125</v>
      </c>
      <c r="I121" s="101">
        <v>1</v>
      </c>
      <c r="J121" s="101"/>
      <c r="K121" s="101"/>
      <c r="L121" s="46"/>
      <c r="M121" s="46"/>
      <c r="N121" s="46"/>
    </row>
    <row r="122" spans="1:14" x14ac:dyDescent="0.25">
      <c r="A122" s="2">
        <v>119</v>
      </c>
      <c r="B122" s="101" t="s">
        <v>36</v>
      </c>
      <c r="C122" s="101" t="s">
        <v>22</v>
      </c>
      <c r="D122" s="101" t="s">
        <v>113</v>
      </c>
      <c r="E122" s="102" t="s">
        <v>56</v>
      </c>
      <c r="F122" s="101" t="s">
        <v>38</v>
      </c>
      <c r="G122" s="102" t="str">
        <f t="shared" si="59"/>
        <v>ModificaciónCTAPI_SOAPDTOMedia</v>
      </c>
      <c r="H122" s="101">
        <f t="shared" si="56"/>
        <v>0.25</v>
      </c>
      <c r="I122" s="101">
        <v>2</v>
      </c>
      <c r="J122" s="101"/>
      <c r="K122" s="101"/>
      <c r="L122" s="46"/>
      <c r="N122" s="46"/>
    </row>
    <row r="123" spans="1:14" x14ac:dyDescent="0.25">
      <c r="A123" s="2">
        <v>120</v>
      </c>
      <c r="B123" s="101" t="s">
        <v>36</v>
      </c>
      <c r="C123" s="101" t="s">
        <v>22</v>
      </c>
      <c r="D123" s="101" t="s">
        <v>113</v>
      </c>
      <c r="E123" s="102" t="s">
        <v>56</v>
      </c>
      <c r="F123" s="101" t="s">
        <v>37</v>
      </c>
      <c r="G123" s="102" t="str">
        <f t="shared" si="59"/>
        <v>ModificaciónCTAPI_SOAPDTOAlta</v>
      </c>
      <c r="H123" s="101">
        <f t="shared" si="56"/>
        <v>0.375</v>
      </c>
      <c r="I123" s="101">
        <v>3</v>
      </c>
      <c r="J123" s="101"/>
      <c r="K123" s="101"/>
      <c r="L123" s="46"/>
      <c r="N123" s="43"/>
    </row>
    <row r="124" spans="1:14" x14ac:dyDescent="0.25">
      <c r="A124" s="2">
        <v>121</v>
      </c>
      <c r="B124" s="99" t="s">
        <v>36</v>
      </c>
      <c r="C124" s="99" t="s">
        <v>22</v>
      </c>
      <c r="D124" s="99" t="s">
        <v>113</v>
      </c>
      <c r="E124" s="100" t="s">
        <v>80</v>
      </c>
      <c r="F124" s="99" t="s">
        <v>105</v>
      </c>
      <c r="G124" s="100" t="str">
        <f t="shared" si="59"/>
        <v>ModificaciónCTAPI_SOAPJUNIT ApiTrivial</v>
      </c>
      <c r="H124" s="99">
        <f t="shared" si="56"/>
        <v>0</v>
      </c>
      <c r="I124" s="99">
        <v>0</v>
      </c>
      <c r="J124" s="99"/>
      <c r="K124" s="99"/>
      <c r="L124" s="46"/>
    </row>
    <row r="125" spans="1:14" x14ac:dyDescent="0.25">
      <c r="A125" s="2">
        <v>122</v>
      </c>
      <c r="B125" s="99" t="s">
        <v>36</v>
      </c>
      <c r="C125" s="99" t="s">
        <v>22</v>
      </c>
      <c r="D125" s="99" t="s">
        <v>113</v>
      </c>
      <c r="E125" s="100" t="s">
        <v>80</v>
      </c>
      <c r="F125" s="99" t="s">
        <v>39</v>
      </c>
      <c r="G125" s="100" t="str">
        <f t="shared" si="59"/>
        <v>ModificaciónCTAPI_SOAPJUNIT ApiBaja</v>
      </c>
      <c r="H125" s="99">
        <f t="shared" si="56"/>
        <v>0</v>
      </c>
      <c r="I125" s="99">
        <v>0</v>
      </c>
      <c r="J125" s="99"/>
      <c r="K125" s="99"/>
      <c r="L125" s="46"/>
    </row>
    <row r="126" spans="1:14" x14ac:dyDescent="0.25">
      <c r="A126" s="2">
        <v>123</v>
      </c>
      <c r="B126" s="99" t="s">
        <v>36</v>
      </c>
      <c r="C126" s="99" t="s">
        <v>22</v>
      </c>
      <c r="D126" s="99" t="s">
        <v>113</v>
      </c>
      <c r="E126" s="100" t="s">
        <v>80</v>
      </c>
      <c r="F126" s="99" t="s">
        <v>38</v>
      </c>
      <c r="G126" s="100" t="str">
        <f t="shared" si="59"/>
        <v>ModificaciónCTAPI_SOAPJUNIT ApiMedia</v>
      </c>
      <c r="H126" s="99">
        <f t="shared" si="56"/>
        <v>0</v>
      </c>
      <c r="I126" s="99">
        <v>0</v>
      </c>
      <c r="J126" s="99"/>
      <c r="K126" s="99"/>
      <c r="L126" s="46"/>
    </row>
    <row r="127" spans="1:14" x14ac:dyDescent="0.25">
      <c r="A127" s="2">
        <v>124</v>
      </c>
      <c r="B127" s="99" t="s">
        <v>36</v>
      </c>
      <c r="C127" s="99" t="s">
        <v>22</v>
      </c>
      <c r="D127" s="99" t="s">
        <v>113</v>
      </c>
      <c r="E127" s="100" t="s">
        <v>80</v>
      </c>
      <c r="F127" s="99" t="s">
        <v>37</v>
      </c>
      <c r="G127" s="100" t="str">
        <f t="shared" si="59"/>
        <v>ModificaciónCTAPI_SOAPJUNIT ApiAlta</v>
      </c>
      <c r="H127" s="99">
        <f t="shared" si="56"/>
        <v>0</v>
      </c>
      <c r="I127" s="99">
        <v>0</v>
      </c>
      <c r="J127" s="99"/>
      <c r="K127" s="99"/>
      <c r="L127" s="46"/>
    </row>
    <row r="128" spans="1:14" x14ac:dyDescent="0.25">
      <c r="A128" s="2">
        <v>125</v>
      </c>
      <c r="B128" s="101" t="s">
        <v>36</v>
      </c>
      <c r="C128" s="101" t="s">
        <v>22</v>
      </c>
      <c r="D128" s="101" t="s">
        <v>113</v>
      </c>
      <c r="E128" s="102" t="s">
        <v>89</v>
      </c>
      <c r="F128" s="101" t="s">
        <v>105</v>
      </c>
      <c r="G128" s="102" t="str">
        <f t="shared" si="59"/>
        <v>ModificaciónCTAPI_SOAPRefactor codigoTrivial</v>
      </c>
      <c r="H128" s="101">
        <f t="shared" ref="H128:H131" si="60">I128/8</f>
        <v>3.125E-2</v>
      </c>
      <c r="I128" s="101">
        <v>0.25</v>
      </c>
      <c r="J128" s="101"/>
      <c r="K128" s="101"/>
      <c r="L128" s="46"/>
    </row>
    <row r="129" spans="1:12" x14ac:dyDescent="0.25">
      <c r="A129" s="2">
        <v>126</v>
      </c>
      <c r="B129" s="101" t="s">
        <v>36</v>
      </c>
      <c r="C129" s="101" t="s">
        <v>22</v>
      </c>
      <c r="D129" s="101" t="s">
        <v>113</v>
      </c>
      <c r="E129" s="102" t="s">
        <v>89</v>
      </c>
      <c r="F129" s="101" t="s">
        <v>39</v>
      </c>
      <c r="G129" s="102" t="str">
        <f t="shared" si="59"/>
        <v>ModificaciónCTAPI_SOAPRefactor codigoBaja</v>
      </c>
      <c r="H129" s="101">
        <f t="shared" si="60"/>
        <v>0.5</v>
      </c>
      <c r="I129" s="101">
        <v>4</v>
      </c>
      <c r="J129" s="101"/>
      <c r="K129" s="101"/>
      <c r="L129" s="46"/>
    </row>
    <row r="130" spans="1:12" x14ac:dyDescent="0.25">
      <c r="A130" s="2">
        <v>127</v>
      </c>
      <c r="B130" s="101" t="s">
        <v>36</v>
      </c>
      <c r="C130" s="101" t="s">
        <v>22</v>
      </c>
      <c r="D130" s="101" t="s">
        <v>113</v>
      </c>
      <c r="E130" s="102" t="s">
        <v>89</v>
      </c>
      <c r="F130" s="101" t="s">
        <v>38</v>
      </c>
      <c r="G130" s="102" t="str">
        <f t="shared" si="59"/>
        <v>ModificaciónCTAPI_SOAPRefactor codigoMedia</v>
      </c>
      <c r="H130" s="101">
        <f t="shared" si="60"/>
        <v>1.125</v>
      </c>
      <c r="I130" s="101">
        <v>9</v>
      </c>
      <c r="J130" s="101"/>
      <c r="K130" s="101"/>
      <c r="L130" s="46"/>
    </row>
    <row r="131" spans="1:12" x14ac:dyDescent="0.25">
      <c r="A131" s="2">
        <v>128</v>
      </c>
      <c r="B131" s="101" t="s">
        <v>36</v>
      </c>
      <c r="C131" s="101" t="s">
        <v>22</v>
      </c>
      <c r="D131" s="101" t="s">
        <v>113</v>
      </c>
      <c r="E131" s="102" t="s">
        <v>89</v>
      </c>
      <c r="F131" s="101" t="s">
        <v>37</v>
      </c>
      <c r="G131" s="102" t="str">
        <f t="shared" si="59"/>
        <v>ModificaciónCTAPI_SOAPRefactor codigoAlta</v>
      </c>
      <c r="H131" s="101">
        <f t="shared" si="60"/>
        <v>1.875</v>
      </c>
      <c r="I131" s="101">
        <v>15</v>
      </c>
      <c r="J131" s="101"/>
      <c r="K131" s="101"/>
      <c r="L131" s="46"/>
    </row>
    <row r="132" spans="1:12" x14ac:dyDescent="0.25">
      <c r="A132" s="2">
        <v>129</v>
      </c>
      <c r="B132" s="99" t="s">
        <v>36</v>
      </c>
      <c r="C132" s="99" t="s">
        <v>22</v>
      </c>
      <c r="D132" s="99" t="s">
        <v>33</v>
      </c>
      <c r="E132" s="100" t="s">
        <v>54</v>
      </c>
      <c r="F132" s="99" t="s">
        <v>105</v>
      </c>
      <c r="G132" s="100" t="str">
        <f t="shared" si="0"/>
        <v>ModificaciónCTFrontalControladorTrivial</v>
      </c>
      <c r="H132" s="99">
        <f t="shared" si="56"/>
        <v>3.125E-2</v>
      </c>
      <c r="I132" s="99">
        <v>0.25</v>
      </c>
      <c r="J132" s="99"/>
      <c r="K132" s="99"/>
      <c r="L132" s="46"/>
    </row>
    <row r="133" spans="1:12" x14ac:dyDescent="0.25">
      <c r="A133" s="2">
        <v>130</v>
      </c>
      <c r="B133" s="99" t="s">
        <v>36</v>
      </c>
      <c r="C133" s="99" t="s">
        <v>22</v>
      </c>
      <c r="D133" s="99" t="s">
        <v>33</v>
      </c>
      <c r="E133" s="100" t="s">
        <v>54</v>
      </c>
      <c r="F133" s="99" t="s">
        <v>39</v>
      </c>
      <c r="G133" s="100" t="str">
        <f t="shared" ref="G133" si="61">CONCATENATE(B133,C133,D133,E133,F133)</f>
        <v>ModificaciónCTFrontalControladorBaja</v>
      </c>
      <c r="H133" s="99">
        <f t="shared" ref="H133" si="62">I133/8</f>
        <v>0.125</v>
      </c>
      <c r="I133" s="99">
        <v>1</v>
      </c>
      <c r="J133" s="99"/>
      <c r="K133" s="99"/>
      <c r="L133" s="46"/>
    </row>
    <row r="134" spans="1:12" x14ac:dyDescent="0.25">
      <c r="A134" s="2">
        <v>131</v>
      </c>
      <c r="B134" s="99" t="s">
        <v>36</v>
      </c>
      <c r="C134" s="99" t="s">
        <v>22</v>
      </c>
      <c r="D134" s="99" t="s">
        <v>33</v>
      </c>
      <c r="E134" s="100" t="s">
        <v>54</v>
      </c>
      <c r="F134" s="99" t="s">
        <v>38</v>
      </c>
      <c r="G134" s="100" t="str">
        <f t="shared" si="0"/>
        <v>ModificaciónCTFrontalControladorMedia</v>
      </c>
      <c r="H134" s="99">
        <f t="shared" si="56"/>
        <v>0.25</v>
      </c>
      <c r="I134" s="99">
        <v>2</v>
      </c>
      <c r="J134" s="99"/>
      <c r="K134" s="99"/>
      <c r="L134" s="46"/>
    </row>
    <row r="135" spans="1:12" x14ac:dyDescent="0.25">
      <c r="A135" s="2">
        <v>132</v>
      </c>
      <c r="B135" s="99" t="s">
        <v>36</v>
      </c>
      <c r="C135" s="99" t="s">
        <v>22</v>
      </c>
      <c r="D135" s="99" t="s">
        <v>33</v>
      </c>
      <c r="E135" s="100" t="s">
        <v>54</v>
      </c>
      <c r="F135" s="99" t="s">
        <v>37</v>
      </c>
      <c r="G135" s="100" t="str">
        <f t="shared" si="0"/>
        <v>ModificaciónCTFrontalControladorAlta</v>
      </c>
      <c r="H135" s="99">
        <f t="shared" si="56"/>
        <v>0.625</v>
      </c>
      <c r="I135" s="99">
        <v>5</v>
      </c>
      <c r="J135" s="99"/>
      <c r="K135" s="99"/>
      <c r="L135" s="46"/>
    </row>
    <row r="136" spans="1:12" x14ac:dyDescent="0.25">
      <c r="A136" s="2">
        <v>133</v>
      </c>
      <c r="B136" s="101" t="s">
        <v>36</v>
      </c>
      <c r="C136" s="101" t="s">
        <v>22</v>
      </c>
      <c r="D136" s="101" t="s">
        <v>33</v>
      </c>
      <c r="E136" s="102" t="s">
        <v>53</v>
      </c>
      <c r="F136" s="101" t="s">
        <v>105</v>
      </c>
      <c r="G136" s="102" t="str">
        <f t="shared" si="0"/>
        <v>ModificaciónCTFrontalJSTrivial</v>
      </c>
      <c r="H136" s="101">
        <f t="shared" si="56"/>
        <v>3.125E-2</v>
      </c>
      <c r="I136" s="101">
        <v>0.25</v>
      </c>
      <c r="J136" s="101"/>
      <c r="K136" s="101"/>
      <c r="L136" s="43"/>
    </row>
    <row r="137" spans="1:12" x14ac:dyDescent="0.25">
      <c r="A137" s="2">
        <v>134</v>
      </c>
      <c r="B137" s="101" t="s">
        <v>36</v>
      </c>
      <c r="C137" s="101" t="s">
        <v>22</v>
      </c>
      <c r="D137" s="101" t="s">
        <v>33</v>
      </c>
      <c r="E137" s="102" t="s">
        <v>53</v>
      </c>
      <c r="F137" s="101" t="s">
        <v>39</v>
      </c>
      <c r="G137" s="102" t="str">
        <f t="shared" ref="G137" si="63">CONCATENATE(B137,C137,D137,E137,F137)</f>
        <v>ModificaciónCTFrontalJSBaja</v>
      </c>
      <c r="H137" s="101">
        <f t="shared" ref="H137" si="64">I137/8</f>
        <v>6.25E-2</v>
      </c>
      <c r="I137" s="101">
        <v>0.5</v>
      </c>
      <c r="J137" s="101"/>
      <c r="K137" s="101"/>
      <c r="L137" s="43"/>
    </row>
    <row r="138" spans="1:12" x14ac:dyDescent="0.25">
      <c r="A138" s="2">
        <v>135</v>
      </c>
      <c r="B138" s="101" t="s">
        <v>36</v>
      </c>
      <c r="C138" s="101" t="s">
        <v>22</v>
      </c>
      <c r="D138" s="101" t="s">
        <v>33</v>
      </c>
      <c r="E138" s="102" t="s">
        <v>53</v>
      </c>
      <c r="F138" s="101" t="s">
        <v>38</v>
      </c>
      <c r="G138" s="102" t="str">
        <f t="shared" si="0"/>
        <v>ModificaciónCTFrontalJSMedia</v>
      </c>
      <c r="H138" s="101">
        <f t="shared" si="56"/>
        <v>0.25</v>
      </c>
      <c r="I138" s="101">
        <v>2</v>
      </c>
      <c r="J138" s="101"/>
      <c r="K138" s="101"/>
      <c r="L138" s="46"/>
    </row>
    <row r="139" spans="1:12" x14ac:dyDescent="0.25">
      <c r="A139" s="2">
        <v>136</v>
      </c>
      <c r="B139" s="101" t="s">
        <v>36</v>
      </c>
      <c r="C139" s="101" t="s">
        <v>22</v>
      </c>
      <c r="D139" s="101" t="s">
        <v>33</v>
      </c>
      <c r="E139" s="102" t="s">
        <v>53</v>
      </c>
      <c r="F139" s="101" t="s">
        <v>37</v>
      </c>
      <c r="G139" s="102" t="str">
        <f t="shared" si="0"/>
        <v>ModificaciónCTFrontalJSAlta</v>
      </c>
      <c r="H139" s="101">
        <f t="shared" si="56"/>
        <v>0.5</v>
      </c>
      <c r="I139" s="101">
        <v>4</v>
      </c>
      <c r="J139" s="101"/>
      <c r="K139" s="101"/>
      <c r="L139" s="46"/>
    </row>
    <row r="140" spans="1:12" x14ac:dyDescent="0.25">
      <c r="A140" s="2">
        <v>137</v>
      </c>
      <c r="B140" s="99" t="s">
        <v>36</v>
      </c>
      <c r="C140" s="99" t="s">
        <v>22</v>
      </c>
      <c r="D140" s="99" t="s">
        <v>33</v>
      </c>
      <c r="E140" s="100" t="s">
        <v>55</v>
      </c>
      <c r="F140" s="99" t="s">
        <v>105</v>
      </c>
      <c r="G140" s="100" t="str">
        <f t="shared" si="0"/>
        <v>ModificaciónCTFrontalHTMLTrivial</v>
      </c>
      <c r="H140" s="99">
        <f t="shared" si="56"/>
        <v>3.125E-2</v>
      </c>
      <c r="I140" s="99">
        <v>0.25</v>
      </c>
      <c r="J140" s="99"/>
      <c r="K140" s="99"/>
      <c r="L140" s="46"/>
    </row>
    <row r="141" spans="1:12" x14ac:dyDescent="0.25">
      <c r="A141" s="2">
        <v>138</v>
      </c>
      <c r="B141" s="99" t="s">
        <v>36</v>
      </c>
      <c r="C141" s="99" t="s">
        <v>22</v>
      </c>
      <c r="D141" s="99" t="s">
        <v>33</v>
      </c>
      <c r="E141" s="100" t="s">
        <v>55</v>
      </c>
      <c r="F141" s="99" t="s">
        <v>39</v>
      </c>
      <c r="G141" s="100" t="str">
        <f t="shared" ref="G141" si="65">CONCATENATE(B141,C141,D141,E141,F141)</f>
        <v>ModificaciónCTFrontalHTMLBaja</v>
      </c>
      <c r="H141" s="99">
        <f t="shared" ref="H141" si="66">I141/8</f>
        <v>0.125</v>
      </c>
      <c r="I141" s="99">
        <v>1</v>
      </c>
      <c r="J141" s="99"/>
      <c r="K141" s="99"/>
      <c r="L141" s="46"/>
    </row>
    <row r="142" spans="1:12" x14ac:dyDescent="0.25">
      <c r="A142" s="2">
        <v>139</v>
      </c>
      <c r="B142" s="99" t="s">
        <v>36</v>
      </c>
      <c r="C142" s="99" t="s">
        <v>22</v>
      </c>
      <c r="D142" s="99" t="s">
        <v>33</v>
      </c>
      <c r="E142" s="100" t="s">
        <v>55</v>
      </c>
      <c r="F142" s="99" t="s">
        <v>38</v>
      </c>
      <c r="G142" s="100" t="str">
        <f t="shared" si="0"/>
        <v>ModificaciónCTFrontalHTMLMedia</v>
      </c>
      <c r="H142" s="99">
        <f t="shared" si="56"/>
        <v>0.25</v>
      </c>
      <c r="I142" s="99">
        <v>2</v>
      </c>
      <c r="J142" s="99"/>
      <c r="K142" s="99"/>
      <c r="L142" s="43"/>
    </row>
    <row r="143" spans="1:12" x14ac:dyDescent="0.25">
      <c r="A143" s="2">
        <v>140</v>
      </c>
      <c r="B143" s="99" t="s">
        <v>36</v>
      </c>
      <c r="C143" s="99" t="s">
        <v>22</v>
      </c>
      <c r="D143" s="99" t="s">
        <v>33</v>
      </c>
      <c r="E143" s="100" t="s">
        <v>55</v>
      </c>
      <c r="F143" s="99" t="s">
        <v>37</v>
      </c>
      <c r="G143" s="100" t="str">
        <f t="shared" si="0"/>
        <v>ModificaciónCTFrontalHTMLAlta</v>
      </c>
      <c r="H143" s="99">
        <f t="shared" si="56"/>
        <v>0.5</v>
      </c>
      <c r="I143" s="99">
        <v>4</v>
      </c>
      <c r="J143" s="99"/>
      <c r="K143" s="99"/>
      <c r="L143" s="46"/>
    </row>
    <row r="144" spans="1:12" x14ac:dyDescent="0.25">
      <c r="A144" s="2">
        <v>141</v>
      </c>
      <c r="B144" s="101" t="s">
        <v>36</v>
      </c>
      <c r="C144" s="101" t="s">
        <v>22</v>
      </c>
      <c r="D144" s="101" t="s">
        <v>33</v>
      </c>
      <c r="E144" s="102" t="s">
        <v>82</v>
      </c>
      <c r="F144" s="101" t="s">
        <v>105</v>
      </c>
      <c r="G144" s="102" t="str">
        <f t="shared" si="0"/>
        <v>ModificaciónCTFrontalJUNIT JSTrivial</v>
      </c>
      <c r="H144" s="101">
        <f t="shared" si="56"/>
        <v>0</v>
      </c>
      <c r="I144" s="101">
        <v>0</v>
      </c>
      <c r="J144" s="101"/>
      <c r="K144" s="101"/>
      <c r="L144" s="46"/>
    </row>
    <row r="145" spans="1:12" x14ac:dyDescent="0.25">
      <c r="A145" s="2">
        <v>142</v>
      </c>
      <c r="B145" s="101" t="s">
        <v>36</v>
      </c>
      <c r="C145" s="101" t="s">
        <v>22</v>
      </c>
      <c r="D145" s="101" t="s">
        <v>33</v>
      </c>
      <c r="E145" s="102" t="s">
        <v>82</v>
      </c>
      <c r="F145" s="101" t="s">
        <v>39</v>
      </c>
      <c r="G145" s="102" t="str">
        <f t="shared" ref="G145" si="67">CONCATENATE(B145,C145,D145,E145,F145)</f>
        <v>ModificaciónCTFrontalJUNIT JSBaja</v>
      </c>
      <c r="H145" s="101">
        <f t="shared" ref="H145" si="68">I145/8</f>
        <v>0</v>
      </c>
      <c r="I145" s="101">
        <v>0</v>
      </c>
      <c r="J145" s="101"/>
      <c r="K145" s="101"/>
      <c r="L145" s="46"/>
    </row>
    <row r="146" spans="1:12" x14ac:dyDescent="0.25">
      <c r="A146" s="2">
        <v>143</v>
      </c>
      <c r="B146" s="101" t="s">
        <v>36</v>
      </c>
      <c r="C146" s="101" t="s">
        <v>22</v>
      </c>
      <c r="D146" s="101" t="s">
        <v>33</v>
      </c>
      <c r="E146" s="102" t="s">
        <v>82</v>
      </c>
      <c r="F146" s="101" t="s">
        <v>38</v>
      </c>
      <c r="G146" s="102" t="str">
        <f t="shared" si="0"/>
        <v>ModificaciónCTFrontalJUNIT JSMedia</v>
      </c>
      <c r="H146" s="101">
        <f t="shared" si="56"/>
        <v>0</v>
      </c>
      <c r="I146" s="101">
        <v>0</v>
      </c>
      <c r="J146" s="101"/>
      <c r="K146" s="101"/>
      <c r="L146" s="43"/>
    </row>
    <row r="147" spans="1:12" x14ac:dyDescent="0.25">
      <c r="A147" s="2">
        <v>144</v>
      </c>
      <c r="B147" s="101" t="s">
        <v>36</v>
      </c>
      <c r="C147" s="101" t="s">
        <v>22</v>
      </c>
      <c r="D147" s="101" t="s">
        <v>33</v>
      </c>
      <c r="E147" s="102" t="s">
        <v>82</v>
      </c>
      <c r="F147" s="101" t="s">
        <v>37</v>
      </c>
      <c r="G147" s="102" t="str">
        <f t="shared" si="0"/>
        <v>ModificaciónCTFrontalJUNIT JSAlta</v>
      </c>
      <c r="H147" s="101">
        <f t="shared" si="56"/>
        <v>0</v>
      </c>
      <c r="I147" s="101">
        <v>0</v>
      </c>
      <c r="J147" s="101"/>
      <c r="K147" s="101"/>
      <c r="L147" s="43"/>
    </row>
    <row r="148" spans="1:12" x14ac:dyDescent="0.25">
      <c r="A148" s="2">
        <v>145</v>
      </c>
      <c r="B148" s="99" t="s">
        <v>36</v>
      </c>
      <c r="C148" s="99" t="s">
        <v>22</v>
      </c>
      <c r="D148" s="99" t="s">
        <v>33</v>
      </c>
      <c r="E148" s="100" t="s">
        <v>81</v>
      </c>
      <c r="F148" s="99" t="s">
        <v>105</v>
      </c>
      <c r="G148" s="100" t="str">
        <f t="shared" si="0"/>
        <v>ModificaciónCTFrontalJUNIT ControllerTrivial</v>
      </c>
      <c r="H148" s="99">
        <f t="shared" si="56"/>
        <v>0</v>
      </c>
      <c r="I148" s="99">
        <v>0</v>
      </c>
      <c r="J148" s="99"/>
      <c r="K148" s="99"/>
      <c r="L148" s="46"/>
    </row>
    <row r="149" spans="1:12" x14ac:dyDescent="0.25">
      <c r="A149" s="2">
        <v>146</v>
      </c>
      <c r="B149" s="99" t="s">
        <v>36</v>
      </c>
      <c r="C149" s="99" t="s">
        <v>22</v>
      </c>
      <c r="D149" s="99" t="s">
        <v>33</v>
      </c>
      <c r="E149" s="100" t="s">
        <v>81</v>
      </c>
      <c r="F149" s="99" t="s">
        <v>39</v>
      </c>
      <c r="G149" s="100" t="str">
        <f t="shared" ref="G149" si="69">CONCATENATE(B149,C149,D149,E149,F149)</f>
        <v>ModificaciónCTFrontalJUNIT ControllerBaja</v>
      </c>
      <c r="H149" s="99">
        <f t="shared" ref="H149" si="70">I149/8</f>
        <v>0</v>
      </c>
      <c r="I149" s="99">
        <v>0</v>
      </c>
      <c r="J149" s="99"/>
      <c r="K149" s="99"/>
      <c r="L149" s="46"/>
    </row>
    <row r="150" spans="1:12" x14ac:dyDescent="0.25">
      <c r="A150" s="2">
        <v>147</v>
      </c>
      <c r="B150" s="99" t="s">
        <v>36</v>
      </c>
      <c r="C150" s="99" t="s">
        <v>22</v>
      </c>
      <c r="D150" s="99" t="s">
        <v>33</v>
      </c>
      <c r="E150" s="100" t="s">
        <v>81</v>
      </c>
      <c r="F150" s="99" t="s">
        <v>38</v>
      </c>
      <c r="G150" s="100" t="str">
        <f t="shared" si="0"/>
        <v>ModificaciónCTFrontalJUNIT ControllerMedia</v>
      </c>
      <c r="H150" s="99">
        <f t="shared" si="56"/>
        <v>0</v>
      </c>
      <c r="I150" s="99">
        <v>0</v>
      </c>
      <c r="J150" s="99"/>
      <c r="K150" s="99"/>
      <c r="L150" s="46"/>
    </row>
    <row r="151" spans="1:12" x14ac:dyDescent="0.25">
      <c r="A151" s="2">
        <v>148</v>
      </c>
      <c r="B151" s="99" t="s">
        <v>36</v>
      </c>
      <c r="C151" s="99" t="s">
        <v>22</v>
      </c>
      <c r="D151" s="99" t="s">
        <v>33</v>
      </c>
      <c r="E151" s="100" t="s">
        <v>81</v>
      </c>
      <c r="F151" s="99" t="s">
        <v>37</v>
      </c>
      <c r="G151" s="100" t="str">
        <f t="shared" si="0"/>
        <v>ModificaciónCTFrontalJUNIT ControllerAlta</v>
      </c>
      <c r="H151" s="99">
        <f t="shared" si="56"/>
        <v>0</v>
      </c>
      <c r="I151" s="99">
        <v>0</v>
      </c>
      <c r="J151" s="99"/>
      <c r="K151" s="99"/>
      <c r="L151" s="46"/>
    </row>
    <row r="152" spans="1:12" x14ac:dyDescent="0.25">
      <c r="A152" s="2">
        <v>149</v>
      </c>
      <c r="B152" s="101" t="s">
        <v>36</v>
      </c>
      <c r="C152" s="101" t="s">
        <v>22</v>
      </c>
      <c r="D152" s="101" t="s">
        <v>33</v>
      </c>
      <c r="E152" s="102" t="s">
        <v>89</v>
      </c>
      <c r="F152" s="101" t="s">
        <v>105</v>
      </c>
      <c r="G152" s="102" t="str">
        <f t="shared" si="0"/>
        <v>ModificaciónCTFrontalRefactor codigoTrivial</v>
      </c>
      <c r="H152" s="101">
        <f t="shared" si="56"/>
        <v>3.125E-2</v>
      </c>
      <c r="I152" s="101">
        <v>0.25</v>
      </c>
      <c r="J152" s="101"/>
      <c r="K152" s="101"/>
      <c r="L152" s="46"/>
    </row>
    <row r="153" spans="1:12" x14ac:dyDescent="0.25">
      <c r="A153" s="2">
        <v>150</v>
      </c>
      <c r="B153" s="101" t="s">
        <v>36</v>
      </c>
      <c r="C153" s="101" t="s">
        <v>22</v>
      </c>
      <c r="D153" s="101" t="s">
        <v>33</v>
      </c>
      <c r="E153" s="102" t="s">
        <v>89</v>
      </c>
      <c r="F153" s="101" t="s">
        <v>39</v>
      </c>
      <c r="G153" s="102" t="str">
        <f t="shared" ref="G153" si="71">CONCATENATE(B153,C153,D153,E153,F153)</f>
        <v>ModificaciónCTFrontalRefactor codigoBaja</v>
      </c>
      <c r="H153" s="101">
        <f t="shared" ref="H153" si="72">I153/8</f>
        <v>0.375</v>
      </c>
      <c r="I153" s="101">
        <v>3</v>
      </c>
      <c r="J153" s="101"/>
      <c r="K153" s="101"/>
      <c r="L153" s="46"/>
    </row>
    <row r="154" spans="1:12" x14ac:dyDescent="0.25">
      <c r="A154" s="2">
        <v>151</v>
      </c>
      <c r="B154" s="101" t="s">
        <v>36</v>
      </c>
      <c r="C154" s="101" t="s">
        <v>22</v>
      </c>
      <c r="D154" s="101" t="s">
        <v>33</v>
      </c>
      <c r="E154" s="102" t="s">
        <v>89</v>
      </c>
      <c r="F154" s="101" t="s">
        <v>38</v>
      </c>
      <c r="G154" s="102" t="str">
        <f t="shared" si="0"/>
        <v>ModificaciónCTFrontalRefactor codigoMedia</v>
      </c>
      <c r="H154" s="101">
        <f t="shared" si="56"/>
        <v>0.75</v>
      </c>
      <c r="I154" s="101">
        <v>6</v>
      </c>
      <c r="J154" s="101"/>
      <c r="K154" s="101"/>
      <c r="L154" s="46"/>
    </row>
    <row r="155" spans="1:12" x14ac:dyDescent="0.25">
      <c r="A155" s="2">
        <v>152</v>
      </c>
      <c r="B155" s="101" t="s">
        <v>36</v>
      </c>
      <c r="C155" s="101" t="s">
        <v>22</v>
      </c>
      <c r="D155" s="101" t="s">
        <v>33</v>
      </c>
      <c r="E155" s="102" t="s">
        <v>89</v>
      </c>
      <c r="F155" s="101" t="s">
        <v>37</v>
      </c>
      <c r="G155" s="102" t="str">
        <f t="shared" si="0"/>
        <v>ModificaciónCTFrontalRefactor codigoAlta</v>
      </c>
      <c r="H155" s="101">
        <f t="shared" si="56"/>
        <v>1.125</v>
      </c>
      <c r="I155" s="101">
        <v>9</v>
      </c>
      <c r="J155" s="101"/>
      <c r="K155" s="101"/>
      <c r="L155" s="46"/>
    </row>
    <row r="156" spans="1:12" x14ac:dyDescent="0.25">
      <c r="A156" s="2">
        <v>153</v>
      </c>
      <c r="B156" s="99" t="s">
        <v>36</v>
      </c>
      <c r="C156" s="99" t="s">
        <v>22</v>
      </c>
      <c r="D156" s="99" t="s">
        <v>34</v>
      </c>
      <c r="E156" s="100" t="s">
        <v>69</v>
      </c>
      <c r="F156" s="99" t="s">
        <v>105</v>
      </c>
      <c r="G156" s="100" t="str">
        <f t="shared" si="0"/>
        <v>ModificaciónCTGeneralConstrucionTrivial</v>
      </c>
      <c r="H156" s="99">
        <f t="shared" si="56"/>
        <v>3.125E-2</v>
      </c>
      <c r="I156" s="99">
        <v>0.25</v>
      </c>
      <c r="J156" s="99"/>
      <c r="K156" s="99"/>
      <c r="L156" s="46"/>
    </row>
    <row r="157" spans="1:12" x14ac:dyDescent="0.25">
      <c r="A157" s="2">
        <v>154</v>
      </c>
      <c r="B157" s="99" t="s">
        <v>36</v>
      </c>
      <c r="C157" s="99" t="s">
        <v>22</v>
      </c>
      <c r="D157" s="99" t="s">
        <v>34</v>
      </c>
      <c r="E157" s="100" t="s">
        <v>69</v>
      </c>
      <c r="F157" s="99" t="s">
        <v>39</v>
      </c>
      <c r="G157" s="100" t="str">
        <f t="shared" ref="G157" si="73">CONCATENATE(B157,C157,D157,E157,F157)</f>
        <v>ModificaciónCTGeneralConstrucionBaja</v>
      </c>
      <c r="H157" s="99">
        <f t="shared" ref="H157" si="74">I157/8</f>
        <v>0.25</v>
      </c>
      <c r="I157" s="99">
        <v>2</v>
      </c>
      <c r="J157" s="99"/>
      <c r="K157" s="99"/>
      <c r="L157" s="46"/>
    </row>
    <row r="158" spans="1:12" x14ac:dyDescent="0.25">
      <c r="A158" s="2">
        <v>155</v>
      </c>
      <c r="B158" s="99" t="s">
        <v>36</v>
      </c>
      <c r="C158" s="99" t="s">
        <v>22</v>
      </c>
      <c r="D158" s="99" t="s">
        <v>34</v>
      </c>
      <c r="E158" s="100" t="s">
        <v>69</v>
      </c>
      <c r="F158" s="99" t="s">
        <v>38</v>
      </c>
      <c r="G158" s="100" t="str">
        <f t="shared" si="0"/>
        <v>ModificaciónCTGeneralConstrucionMedia</v>
      </c>
      <c r="H158" s="99">
        <f t="shared" si="56"/>
        <v>0.5</v>
      </c>
      <c r="I158" s="99">
        <v>4</v>
      </c>
      <c r="J158" s="99"/>
      <c r="K158" s="99"/>
      <c r="L158" s="46"/>
    </row>
    <row r="159" spans="1:12" x14ac:dyDescent="0.25">
      <c r="A159" s="2">
        <v>156</v>
      </c>
      <c r="B159" s="99" t="s">
        <v>36</v>
      </c>
      <c r="C159" s="99" t="s">
        <v>22</v>
      </c>
      <c r="D159" s="99" t="s">
        <v>34</v>
      </c>
      <c r="E159" s="100" t="s">
        <v>69</v>
      </c>
      <c r="F159" s="99" t="s">
        <v>37</v>
      </c>
      <c r="G159" s="100" t="str">
        <f t="shared" si="0"/>
        <v>ModificaciónCTGeneralConstrucionAlta</v>
      </c>
      <c r="H159" s="99">
        <f t="shared" si="56"/>
        <v>0.75</v>
      </c>
      <c r="I159" s="99">
        <v>6</v>
      </c>
      <c r="J159" s="99"/>
      <c r="K159" s="99"/>
      <c r="L159" s="46"/>
    </row>
    <row r="160" spans="1:12" x14ac:dyDescent="0.25">
      <c r="A160" s="2">
        <v>157</v>
      </c>
      <c r="B160" s="101" t="s">
        <v>36</v>
      </c>
      <c r="C160" s="101" t="s">
        <v>29</v>
      </c>
      <c r="D160" s="101" t="s">
        <v>52</v>
      </c>
      <c r="E160" s="102" t="s">
        <v>84</v>
      </c>
      <c r="F160" s="101" t="s">
        <v>105</v>
      </c>
      <c r="G160" s="102" t="str">
        <f t="shared" si="0"/>
        <v>ModificaciónMDDAOToma RequerimientosTrivial</v>
      </c>
      <c r="H160" s="101">
        <f t="shared" si="56"/>
        <v>3.125E-2</v>
      </c>
      <c r="I160" s="101">
        <v>0.25</v>
      </c>
      <c r="J160" s="101"/>
      <c r="K160" s="101"/>
      <c r="L160" s="46"/>
    </row>
    <row r="161" spans="1:12" x14ac:dyDescent="0.25">
      <c r="A161" s="2">
        <v>158</v>
      </c>
      <c r="B161" s="101" t="s">
        <v>36</v>
      </c>
      <c r="C161" s="101" t="s">
        <v>29</v>
      </c>
      <c r="D161" s="101" t="s">
        <v>52</v>
      </c>
      <c r="E161" s="102" t="s">
        <v>84</v>
      </c>
      <c r="F161" s="101" t="s">
        <v>39</v>
      </c>
      <c r="G161" s="102" t="str">
        <f t="shared" ref="G161" si="75">CONCATENATE(B161,C161,D161,E161,F161)</f>
        <v>ModificaciónMDDAOToma RequerimientosBaja</v>
      </c>
      <c r="H161" s="101">
        <f t="shared" ref="H161" si="76">I161/8</f>
        <v>0.125</v>
      </c>
      <c r="I161" s="101">
        <v>1</v>
      </c>
      <c r="J161" s="101"/>
      <c r="K161" s="101"/>
      <c r="L161" s="46"/>
    </row>
    <row r="162" spans="1:12" x14ac:dyDescent="0.25">
      <c r="A162" s="2">
        <v>159</v>
      </c>
      <c r="B162" s="101" t="s">
        <v>36</v>
      </c>
      <c r="C162" s="101" t="s">
        <v>29</v>
      </c>
      <c r="D162" s="101" t="s">
        <v>52</v>
      </c>
      <c r="E162" s="102" t="s">
        <v>84</v>
      </c>
      <c r="F162" s="101" t="s">
        <v>38</v>
      </c>
      <c r="G162" s="102" t="str">
        <f t="shared" si="0"/>
        <v>ModificaciónMDDAOToma RequerimientosMedia</v>
      </c>
      <c r="H162" s="101">
        <f t="shared" si="56"/>
        <v>0.375</v>
      </c>
      <c r="I162" s="101">
        <v>3</v>
      </c>
      <c r="J162" s="101"/>
      <c r="K162" s="101"/>
      <c r="L162" s="43"/>
    </row>
    <row r="163" spans="1:12" x14ac:dyDescent="0.25">
      <c r="A163" s="2">
        <v>160</v>
      </c>
      <c r="B163" s="101" t="s">
        <v>36</v>
      </c>
      <c r="C163" s="101" t="s">
        <v>29</v>
      </c>
      <c r="D163" s="101" t="s">
        <v>52</v>
      </c>
      <c r="E163" s="102" t="s">
        <v>84</v>
      </c>
      <c r="F163" s="101" t="s">
        <v>37</v>
      </c>
      <c r="G163" s="102" t="str">
        <f t="shared" si="0"/>
        <v>ModificaciónMDDAOToma RequerimientosAlta</v>
      </c>
      <c r="H163" s="101">
        <f t="shared" si="56"/>
        <v>0.75</v>
      </c>
      <c r="I163" s="101">
        <v>6</v>
      </c>
      <c r="J163" s="101"/>
      <c r="K163" s="101"/>
      <c r="L163" s="46"/>
    </row>
    <row r="164" spans="1:12" x14ac:dyDescent="0.25">
      <c r="A164" s="2">
        <v>161</v>
      </c>
      <c r="B164" s="99" t="s">
        <v>36</v>
      </c>
      <c r="C164" s="99" t="s">
        <v>29</v>
      </c>
      <c r="D164" s="99" t="s">
        <v>52</v>
      </c>
      <c r="E164" s="100" t="s">
        <v>85</v>
      </c>
      <c r="F164" s="99" t="s">
        <v>105</v>
      </c>
      <c r="G164" s="100" t="str">
        <f t="shared" si="0"/>
        <v>ModificaciónMDDAOEspera ImplementacionTrivial</v>
      </c>
      <c r="H164" s="99">
        <f t="shared" si="56"/>
        <v>3.125E-2</v>
      </c>
      <c r="I164" s="99">
        <v>0.25</v>
      </c>
      <c r="J164" s="99"/>
      <c r="K164" s="99"/>
      <c r="L164" s="46"/>
    </row>
    <row r="165" spans="1:12" x14ac:dyDescent="0.25">
      <c r="A165" s="2">
        <v>162</v>
      </c>
      <c r="B165" s="99" t="s">
        <v>36</v>
      </c>
      <c r="C165" s="99" t="s">
        <v>29</v>
      </c>
      <c r="D165" s="99" t="s">
        <v>52</v>
      </c>
      <c r="E165" s="100" t="s">
        <v>85</v>
      </c>
      <c r="F165" s="99" t="s">
        <v>39</v>
      </c>
      <c r="G165" s="100" t="str">
        <f t="shared" ref="G165" si="77">CONCATENATE(B165,C165,D165,E165,F165)</f>
        <v>ModificaciónMDDAOEspera ImplementacionBaja</v>
      </c>
      <c r="H165" s="99">
        <f t="shared" ref="H165" si="78">I165/8</f>
        <v>0.25</v>
      </c>
      <c r="I165" s="99">
        <v>2</v>
      </c>
      <c r="J165" s="99"/>
      <c r="K165" s="99"/>
      <c r="L165" s="46"/>
    </row>
    <row r="166" spans="1:12" x14ac:dyDescent="0.25">
      <c r="A166" s="2">
        <v>163</v>
      </c>
      <c r="B166" s="99" t="s">
        <v>36</v>
      </c>
      <c r="C166" s="99" t="s">
        <v>29</v>
      </c>
      <c r="D166" s="99" t="s">
        <v>52</v>
      </c>
      <c r="E166" s="100" t="s">
        <v>85</v>
      </c>
      <c r="F166" s="99" t="s">
        <v>38</v>
      </c>
      <c r="G166" s="100" t="str">
        <f t="shared" si="0"/>
        <v>ModificaciónMDDAOEspera ImplementacionMedia</v>
      </c>
      <c r="H166" s="99">
        <f t="shared" si="56"/>
        <v>0.5</v>
      </c>
      <c r="I166" s="99">
        <v>4</v>
      </c>
      <c r="J166" s="99"/>
      <c r="K166" s="99"/>
      <c r="L166" s="43"/>
    </row>
    <row r="167" spans="1:12" x14ac:dyDescent="0.25">
      <c r="A167" s="2">
        <v>164</v>
      </c>
      <c r="B167" s="99" t="s">
        <v>36</v>
      </c>
      <c r="C167" s="99" t="s">
        <v>29</v>
      </c>
      <c r="D167" s="99" t="s">
        <v>52</v>
      </c>
      <c r="E167" s="100" t="s">
        <v>85</v>
      </c>
      <c r="F167" s="99" t="s">
        <v>37</v>
      </c>
      <c r="G167" s="100" t="str">
        <f t="shared" si="0"/>
        <v>ModificaciónMDDAOEspera ImplementacionAlta</v>
      </c>
      <c r="H167" s="99">
        <f t="shared" si="56"/>
        <v>0.75</v>
      </c>
      <c r="I167" s="99">
        <v>6</v>
      </c>
      <c r="J167" s="99"/>
      <c r="K167" s="99"/>
      <c r="L167" s="46"/>
    </row>
    <row r="168" spans="1:12" x14ac:dyDescent="0.25">
      <c r="A168" s="2">
        <v>165</v>
      </c>
      <c r="B168" s="101" t="s">
        <v>36</v>
      </c>
      <c r="C168" s="101" t="s">
        <v>29</v>
      </c>
      <c r="D168" s="101" t="s">
        <v>52</v>
      </c>
      <c r="E168" s="102" t="s">
        <v>92</v>
      </c>
      <c r="F168" s="101" t="s">
        <v>105</v>
      </c>
      <c r="G168" s="102" t="str">
        <f t="shared" ref="G168:G232" si="79">CONCATENATE(B168,C168,D168,E168,F168)</f>
        <v>ModificaciónMDDAOOperar Base DatosTrivial</v>
      </c>
      <c r="H168" s="101">
        <f t="shared" si="56"/>
        <v>3.125E-2</v>
      </c>
      <c r="I168" s="101">
        <v>0.25</v>
      </c>
      <c r="J168" s="101"/>
      <c r="K168" s="101"/>
      <c r="L168" s="46"/>
    </row>
    <row r="169" spans="1:12" x14ac:dyDescent="0.25">
      <c r="A169" s="2">
        <v>166</v>
      </c>
      <c r="B169" s="101" t="s">
        <v>36</v>
      </c>
      <c r="C169" s="101" t="s">
        <v>29</v>
      </c>
      <c r="D169" s="101" t="s">
        <v>52</v>
      </c>
      <c r="E169" s="102" t="s">
        <v>92</v>
      </c>
      <c r="F169" s="101" t="s">
        <v>39</v>
      </c>
      <c r="G169" s="102" t="str">
        <f t="shared" ref="G169" si="80">CONCATENATE(B169,C169,D169,E169,F169)</f>
        <v>ModificaciónMDDAOOperar Base DatosBaja</v>
      </c>
      <c r="H169" s="101">
        <f t="shared" ref="H169" si="81">I169/8</f>
        <v>0.25</v>
      </c>
      <c r="I169" s="101">
        <v>2</v>
      </c>
      <c r="J169" s="101"/>
      <c r="K169" s="101"/>
      <c r="L169" s="46"/>
    </row>
    <row r="170" spans="1:12" x14ac:dyDescent="0.25">
      <c r="A170" s="2">
        <v>167</v>
      </c>
      <c r="B170" s="101" t="s">
        <v>36</v>
      </c>
      <c r="C170" s="101" t="s">
        <v>29</v>
      </c>
      <c r="D170" s="101" t="s">
        <v>52</v>
      </c>
      <c r="E170" s="102" t="s">
        <v>92</v>
      </c>
      <c r="F170" s="101" t="s">
        <v>38</v>
      </c>
      <c r="G170" s="102" t="str">
        <f t="shared" si="79"/>
        <v>ModificaciónMDDAOOperar Base DatosMedia</v>
      </c>
      <c r="H170" s="101">
        <f t="shared" si="56"/>
        <v>0.375</v>
      </c>
      <c r="I170" s="101">
        <v>3</v>
      </c>
      <c r="J170" s="101"/>
      <c r="K170" s="101"/>
      <c r="L170" s="43"/>
    </row>
    <row r="171" spans="1:12" x14ac:dyDescent="0.25">
      <c r="A171" s="2">
        <v>168</v>
      </c>
      <c r="B171" s="101" t="s">
        <v>36</v>
      </c>
      <c r="C171" s="101" t="s">
        <v>29</v>
      </c>
      <c r="D171" s="101" t="s">
        <v>52</v>
      </c>
      <c r="E171" s="102" t="s">
        <v>92</v>
      </c>
      <c r="F171" s="101" t="s">
        <v>37</v>
      </c>
      <c r="G171" s="102" t="str">
        <f t="shared" si="79"/>
        <v>ModificaciónMDDAOOperar Base DatosAlta</v>
      </c>
      <c r="H171" s="101">
        <f t="shared" si="56"/>
        <v>0.5</v>
      </c>
      <c r="I171" s="101">
        <v>4</v>
      </c>
      <c r="J171" s="101"/>
      <c r="K171" s="101"/>
      <c r="L171" s="43"/>
    </row>
    <row r="172" spans="1:12" x14ac:dyDescent="0.25">
      <c r="A172" s="2">
        <v>169</v>
      </c>
      <c r="B172" s="99" t="s">
        <v>36</v>
      </c>
      <c r="C172" s="99" t="s">
        <v>64</v>
      </c>
      <c r="D172" s="99" t="s">
        <v>34</v>
      </c>
      <c r="E172" s="100" t="s">
        <v>72</v>
      </c>
      <c r="F172" s="99" t="s">
        <v>105</v>
      </c>
      <c r="G172" s="100" t="str">
        <f t="shared" si="79"/>
        <v>ModificaciónCEGeneralConfiguracion EntornoTrivial</v>
      </c>
      <c r="H172" s="99">
        <f t="shared" si="56"/>
        <v>3.125E-2</v>
      </c>
      <c r="I172" s="99">
        <v>0.25</v>
      </c>
      <c r="J172" s="99"/>
      <c r="K172" s="99"/>
      <c r="L172" s="43"/>
    </row>
    <row r="173" spans="1:12" x14ac:dyDescent="0.25">
      <c r="A173" s="2">
        <v>170</v>
      </c>
      <c r="B173" s="99" t="s">
        <v>36</v>
      </c>
      <c r="C173" s="99" t="s">
        <v>64</v>
      </c>
      <c r="D173" s="99" t="s">
        <v>34</v>
      </c>
      <c r="E173" s="100" t="s">
        <v>72</v>
      </c>
      <c r="F173" s="99" t="s">
        <v>39</v>
      </c>
      <c r="G173" s="100" t="str">
        <f t="shared" si="79"/>
        <v>ModificaciónCEGeneralConfiguracion EntornoBaja</v>
      </c>
      <c r="H173" s="99">
        <f t="shared" si="56"/>
        <v>0.25</v>
      </c>
      <c r="I173" s="99">
        <v>2</v>
      </c>
      <c r="J173" s="99"/>
      <c r="K173" s="99"/>
      <c r="L173" s="43"/>
    </row>
    <row r="174" spans="1:12" x14ac:dyDescent="0.25">
      <c r="A174" s="2">
        <v>171</v>
      </c>
      <c r="B174" s="99" t="s">
        <v>36</v>
      </c>
      <c r="C174" s="99" t="s">
        <v>64</v>
      </c>
      <c r="D174" s="99" t="s">
        <v>34</v>
      </c>
      <c r="E174" s="100" t="s">
        <v>72</v>
      </c>
      <c r="F174" s="99" t="s">
        <v>38</v>
      </c>
      <c r="G174" s="100" t="str">
        <f t="shared" si="79"/>
        <v>ModificaciónCEGeneralConfiguracion EntornoMedia</v>
      </c>
      <c r="H174" s="99">
        <f t="shared" si="56"/>
        <v>0.5</v>
      </c>
      <c r="I174" s="99">
        <v>4</v>
      </c>
      <c r="J174" s="99"/>
      <c r="K174" s="99"/>
      <c r="L174" s="43"/>
    </row>
    <row r="175" spans="1:12" x14ac:dyDescent="0.25">
      <c r="A175" s="2">
        <v>172</v>
      </c>
      <c r="B175" s="99" t="s">
        <v>36</v>
      </c>
      <c r="C175" s="99" t="s">
        <v>64</v>
      </c>
      <c r="D175" s="99" t="s">
        <v>34</v>
      </c>
      <c r="E175" s="100" t="s">
        <v>72</v>
      </c>
      <c r="F175" s="99" t="s">
        <v>37</v>
      </c>
      <c r="G175" s="100" t="str">
        <f t="shared" ref="G175" si="82">CONCATENATE(B175,C175,D175,E175,F175)</f>
        <v>ModificaciónCEGeneralConfiguracion EntornoAlta</v>
      </c>
      <c r="H175" s="99">
        <f t="shared" ref="H175" si="83">I175/8</f>
        <v>0.625</v>
      </c>
      <c r="I175" s="99">
        <v>5</v>
      </c>
      <c r="J175" s="99"/>
      <c r="K175" s="99"/>
      <c r="L175" s="43"/>
    </row>
    <row r="176" spans="1:12" x14ac:dyDescent="0.25">
      <c r="A176" s="2">
        <v>173</v>
      </c>
      <c r="B176" s="101"/>
      <c r="C176" s="101"/>
      <c r="D176" s="101"/>
      <c r="E176" s="102"/>
      <c r="F176" s="101"/>
      <c r="G176" s="102" t="str">
        <f t="shared" si="79"/>
        <v/>
      </c>
      <c r="H176" s="101">
        <f t="shared" si="56"/>
        <v>0</v>
      </c>
      <c r="I176" s="101"/>
      <c r="J176" s="101"/>
      <c r="K176" s="101"/>
      <c r="L176" s="43"/>
    </row>
    <row r="177" spans="1:12" x14ac:dyDescent="0.25">
      <c r="A177" s="2">
        <v>174</v>
      </c>
      <c r="B177" s="101"/>
      <c r="C177" s="101"/>
      <c r="D177" s="101"/>
      <c r="E177" s="102"/>
      <c r="F177" s="101"/>
      <c r="G177" s="102" t="str">
        <f t="shared" si="79"/>
        <v/>
      </c>
      <c r="H177" s="101">
        <f t="shared" si="56"/>
        <v>0</v>
      </c>
      <c r="I177" s="101"/>
      <c r="J177" s="101"/>
      <c r="K177" s="101"/>
      <c r="L177" s="46"/>
    </row>
    <row r="178" spans="1:12" x14ac:dyDescent="0.25">
      <c r="A178" s="2">
        <v>175</v>
      </c>
      <c r="B178" s="101"/>
      <c r="C178" s="101"/>
      <c r="D178" s="101"/>
      <c r="E178" s="102"/>
      <c r="F178" s="101"/>
      <c r="G178" s="102" t="str">
        <f t="shared" si="79"/>
        <v/>
      </c>
      <c r="H178" s="101">
        <f t="shared" si="56"/>
        <v>0</v>
      </c>
      <c r="I178" s="101"/>
      <c r="J178" s="101"/>
      <c r="K178" s="101"/>
      <c r="L178" s="46"/>
    </row>
    <row r="179" spans="1:12" x14ac:dyDescent="0.25">
      <c r="A179" s="2">
        <v>176</v>
      </c>
      <c r="B179" s="101"/>
      <c r="C179" s="101"/>
      <c r="D179" s="101"/>
      <c r="E179" s="102"/>
      <c r="F179" s="101"/>
      <c r="G179" s="102" t="str">
        <f t="shared" si="79"/>
        <v/>
      </c>
      <c r="H179" s="101">
        <f t="shared" si="56"/>
        <v>0</v>
      </c>
      <c r="I179" s="101"/>
      <c r="J179" s="101"/>
      <c r="K179" s="101"/>
      <c r="L179" s="46"/>
    </row>
    <row r="180" spans="1:12" x14ac:dyDescent="0.25">
      <c r="A180" s="2">
        <v>177</v>
      </c>
      <c r="B180" s="99"/>
      <c r="C180" s="99"/>
      <c r="D180" s="99"/>
      <c r="E180" s="100"/>
      <c r="F180" s="99"/>
      <c r="G180" s="100" t="str">
        <f t="shared" si="79"/>
        <v/>
      </c>
      <c r="H180" s="99">
        <f t="shared" si="56"/>
        <v>0</v>
      </c>
      <c r="I180" s="99"/>
      <c r="J180" s="99"/>
      <c r="K180" s="99"/>
      <c r="L180" s="43"/>
    </row>
    <row r="181" spans="1:12" x14ac:dyDescent="0.25">
      <c r="A181" s="2">
        <v>178</v>
      </c>
      <c r="B181" s="99"/>
      <c r="C181" s="99"/>
      <c r="D181" s="99"/>
      <c r="E181" s="100"/>
      <c r="F181" s="99"/>
      <c r="G181" s="100" t="str">
        <f t="shared" si="79"/>
        <v/>
      </c>
      <c r="H181" s="99">
        <f t="shared" si="56"/>
        <v>0</v>
      </c>
      <c r="I181" s="99"/>
      <c r="J181" s="99"/>
      <c r="K181" s="99"/>
      <c r="L181" s="46"/>
    </row>
    <row r="182" spans="1:12" x14ac:dyDescent="0.25">
      <c r="A182" s="2">
        <v>179</v>
      </c>
      <c r="B182" s="99"/>
      <c r="C182" s="99"/>
      <c r="D182" s="99"/>
      <c r="E182" s="100"/>
      <c r="F182" s="99"/>
      <c r="G182" s="100" t="str">
        <f t="shared" si="79"/>
        <v/>
      </c>
      <c r="H182" s="99">
        <f t="shared" si="56"/>
        <v>0</v>
      </c>
      <c r="I182" s="99"/>
      <c r="J182" s="99"/>
      <c r="K182" s="99"/>
      <c r="L182" s="46"/>
    </row>
    <row r="183" spans="1:12" x14ac:dyDescent="0.25">
      <c r="A183" s="2">
        <v>180</v>
      </c>
      <c r="B183" s="99"/>
      <c r="C183" s="99"/>
      <c r="D183" s="99"/>
      <c r="E183" s="100"/>
      <c r="F183" s="99"/>
      <c r="G183" s="100" t="str">
        <f t="shared" si="79"/>
        <v/>
      </c>
      <c r="H183" s="99">
        <f t="shared" si="56"/>
        <v>0</v>
      </c>
      <c r="I183" s="99"/>
      <c r="J183" s="99"/>
      <c r="K183" s="99"/>
      <c r="L183" s="46"/>
    </row>
    <row r="184" spans="1:12" x14ac:dyDescent="0.25">
      <c r="A184" s="2">
        <v>181</v>
      </c>
      <c r="B184" s="101"/>
      <c r="C184" s="101"/>
      <c r="D184" s="101"/>
      <c r="E184" s="102"/>
      <c r="F184" s="101"/>
      <c r="G184" s="102" t="str">
        <f t="shared" si="79"/>
        <v/>
      </c>
      <c r="H184" s="101">
        <f t="shared" si="56"/>
        <v>0</v>
      </c>
      <c r="I184" s="101"/>
      <c r="J184" s="101"/>
      <c r="K184" s="101"/>
      <c r="L184" s="43"/>
    </row>
    <row r="185" spans="1:12" x14ac:dyDescent="0.25">
      <c r="A185" s="2">
        <v>182</v>
      </c>
      <c r="B185" s="101"/>
      <c r="C185" s="101"/>
      <c r="D185" s="101"/>
      <c r="E185" s="102"/>
      <c r="F185" s="101"/>
      <c r="G185" s="102" t="str">
        <f t="shared" si="79"/>
        <v/>
      </c>
      <c r="H185" s="101">
        <f t="shared" si="56"/>
        <v>0</v>
      </c>
      <c r="I185" s="101"/>
      <c r="J185" s="101"/>
      <c r="K185" s="101"/>
      <c r="L185" s="46"/>
    </row>
    <row r="186" spans="1:12" x14ac:dyDescent="0.25">
      <c r="A186" s="2">
        <v>183</v>
      </c>
      <c r="B186" s="101"/>
      <c r="C186" s="101"/>
      <c r="D186" s="101"/>
      <c r="E186" s="102"/>
      <c r="F186" s="101"/>
      <c r="G186" s="102" t="str">
        <f t="shared" si="79"/>
        <v/>
      </c>
      <c r="H186" s="101">
        <f t="shared" si="56"/>
        <v>0</v>
      </c>
      <c r="I186" s="101"/>
      <c r="J186" s="101"/>
      <c r="K186" s="101"/>
      <c r="L186" s="46"/>
    </row>
    <row r="187" spans="1:12" x14ac:dyDescent="0.25">
      <c r="A187" s="2">
        <v>184</v>
      </c>
      <c r="B187" s="101"/>
      <c r="C187" s="101"/>
      <c r="D187" s="101"/>
      <c r="E187" s="102"/>
      <c r="F187" s="101"/>
      <c r="G187" s="102" t="str">
        <f t="shared" si="79"/>
        <v/>
      </c>
      <c r="H187" s="101">
        <f t="shared" si="56"/>
        <v>0</v>
      </c>
      <c r="I187" s="101"/>
      <c r="J187" s="101"/>
      <c r="K187" s="101"/>
      <c r="L187" s="46"/>
    </row>
    <row r="188" spans="1:12" x14ac:dyDescent="0.25">
      <c r="A188" s="2">
        <v>185</v>
      </c>
      <c r="B188" s="99"/>
      <c r="C188" s="99"/>
      <c r="D188" s="99"/>
      <c r="E188" s="100"/>
      <c r="F188" s="99"/>
      <c r="G188" s="100" t="str">
        <f t="shared" si="79"/>
        <v/>
      </c>
      <c r="H188" s="99">
        <f t="shared" si="56"/>
        <v>0</v>
      </c>
      <c r="I188" s="99"/>
      <c r="J188" s="99"/>
      <c r="K188" s="99"/>
      <c r="L188" s="46"/>
    </row>
    <row r="189" spans="1:12" x14ac:dyDescent="0.25">
      <c r="A189" s="2">
        <v>186</v>
      </c>
      <c r="B189" s="99"/>
      <c r="C189" s="99"/>
      <c r="D189" s="99"/>
      <c r="E189" s="100"/>
      <c r="F189" s="99"/>
      <c r="G189" s="100" t="str">
        <f t="shared" si="79"/>
        <v/>
      </c>
      <c r="H189" s="99">
        <f t="shared" si="56"/>
        <v>0</v>
      </c>
      <c r="I189" s="99"/>
      <c r="J189" s="99"/>
      <c r="K189" s="99"/>
      <c r="L189" s="46"/>
    </row>
    <row r="190" spans="1:12" x14ac:dyDescent="0.25">
      <c r="A190" s="2">
        <v>187</v>
      </c>
      <c r="B190" s="99"/>
      <c r="C190" s="99"/>
      <c r="D190" s="99"/>
      <c r="E190" s="100"/>
      <c r="F190" s="99"/>
      <c r="G190" s="100" t="str">
        <f t="shared" si="79"/>
        <v/>
      </c>
      <c r="H190" s="99">
        <f t="shared" si="56"/>
        <v>0</v>
      </c>
      <c r="I190" s="99"/>
      <c r="J190" s="99"/>
      <c r="K190" s="99"/>
      <c r="L190" s="46"/>
    </row>
    <row r="191" spans="1:12" x14ac:dyDescent="0.25">
      <c r="A191" s="2">
        <v>188</v>
      </c>
      <c r="B191" s="99"/>
      <c r="C191" s="99"/>
      <c r="D191" s="99"/>
      <c r="E191" s="100"/>
      <c r="F191" s="99"/>
      <c r="G191" s="100" t="str">
        <f t="shared" si="79"/>
        <v/>
      </c>
      <c r="H191" s="99">
        <f t="shared" si="56"/>
        <v>0</v>
      </c>
      <c r="I191" s="99"/>
      <c r="J191" s="99"/>
      <c r="K191" s="99"/>
      <c r="L191" s="46"/>
    </row>
    <row r="192" spans="1:12" x14ac:dyDescent="0.25">
      <c r="A192" s="2">
        <v>189</v>
      </c>
      <c r="B192" s="101"/>
      <c r="C192" s="101"/>
      <c r="D192" s="101"/>
      <c r="E192" s="102"/>
      <c r="F192" s="101"/>
      <c r="G192" s="102" t="str">
        <f t="shared" si="79"/>
        <v/>
      </c>
      <c r="H192" s="101">
        <f t="shared" si="56"/>
        <v>0</v>
      </c>
      <c r="I192" s="101"/>
      <c r="J192" s="101"/>
      <c r="K192" s="101"/>
      <c r="L192" s="46"/>
    </row>
    <row r="193" spans="1:12" x14ac:dyDescent="0.25">
      <c r="A193" s="2">
        <v>190</v>
      </c>
      <c r="B193" s="101"/>
      <c r="C193" s="101"/>
      <c r="D193" s="101"/>
      <c r="E193" s="102"/>
      <c r="F193" s="101"/>
      <c r="G193" s="102" t="str">
        <f t="shared" si="79"/>
        <v/>
      </c>
      <c r="H193" s="101">
        <f t="shared" si="56"/>
        <v>0</v>
      </c>
      <c r="I193" s="101"/>
      <c r="J193" s="101"/>
      <c r="K193" s="101"/>
      <c r="L193" s="46"/>
    </row>
    <row r="194" spans="1:12" x14ac:dyDescent="0.25">
      <c r="A194" s="2">
        <v>191</v>
      </c>
      <c r="B194" s="101"/>
      <c r="C194" s="101"/>
      <c r="D194" s="101"/>
      <c r="E194" s="102"/>
      <c r="F194" s="101"/>
      <c r="G194" s="102" t="str">
        <f t="shared" si="79"/>
        <v/>
      </c>
      <c r="H194" s="101">
        <f t="shared" si="56"/>
        <v>0</v>
      </c>
      <c r="I194" s="101"/>
      <c r="J194" s="101"/>
      <c r="K194" s="101"/>
      <c r="L194" s="46"/>
    </row>
    <row r="195" spans="1:12" x14ac:dyDescent="0.25">
      <c r="A195" s="2">
        <v>192</v>
      </c>
      <c r="B195" s="101"/>
      <c r="C195" s="101"/>
      <c r="D195" s="101"/>
      <c r="E195" s="102"/>
      <c r="F195" s="101"/>
      <c r="G195" s="102" t="str">
        <f t="shared" si="79"/>
        <v/>
      </c>
      <c r="H195" s="101">
        <f t="shared" si="56"/>
        <v>0</v>
      </c>
      <c r="I195" s="101"/>
      <c r="J195" s="101"/>
      <c r="K195" s="101"/>
      <c r="L195" s="46"/>
    </row>
    <row r="196" spans="1:12" x14ac:dyDescent="0.25">
      <c r="A196" s="2">
        <v>193</v>
      </c>
      <c r="B196" s="87"/>
      <c r="C196" s="87"/>
      <c r="D196" s="87"/>
      <c r="E196" s="82"/>
      <c r="F196" s="87"/>
      <c r="G196" s="82" t="str">
        <f t="shared" si="79"/>
        <v/>
      </c>
      <c r="H196" s="87">
        <f t="shared" si="56"/>
        <v>0</v>
      </c>
      <c r="I196" s="87"/>
      <c r="J196" s="87"/>
      <c r="K196" s="87"/>
      <c r="L196" s="46"/>
    </row>
    <row r="197" spans="1:12" x14ac:dyDescent="0.25">
      <c r="A197" s="2">
        <v>194</v>
      </c>
      <c r="B197" s="87"/>
      <c r="C197" s="87"/>
      <c r="D197" s="87"/>
      <c r="E197" s="82"/>
      <c r="F197" s="87"/>
      <c r="G197" s="82" t="str">
        <f t="shared" si="79"/>
        <v/>
      </c>
      <c r="H197" s="87">
        <f t="shared" si="56"/>
        <v>0</v>
      </c>
      <c r="I197" s="87"/>
      <c r="J197" s="87"/>
      <c r="K197" s="87"/>
      <c r="L197" s="46"/>
    </row>
    <row r="198" spans="1:12" x14ac:dyDescent="0.25">
      <c r="A198" s="2">
        <v>195</v>
      </c>
      <c r="B198" s="87"/>
      <c r="C198" s="87"/>
      <c r="D198" s="87"/>
      <c r="E198" s="82"/>
      <c r="F198" s="87"/>
      <c r="G198" s="82" t="str">
        <f t="shared" si="79"/>
        <v/>
      </c>
      <c r="H198" s="87">
        <f t="shared" si="56"/>
        <v>0</v>
      </c>
      <c r="I198" s="87"/>
      <c r="J198" s="87"/>
      <c r="K198" s="87"/>
      <c r="L198" s="46"/>
    </row>
    <row r="199" spans="1:12" x14ac:dyDescent="0.25">
      <c r="A199" s="2">
        <v>196</v>
      </c>
      <c r="B199" s="87"/>
      <c r="C199" s="87"/>
      <c r="D199" s="87"/>
      <c r="E199" s="82"/>
      <c r="F199" s="87"/>
      <c r="G199" s="82" t="str">
        <f t="shared" si="79"/>
        <v/>
      </c>
      <c r="H199" s="87">
        <f t="shared" si="56"/>
        <v>0</v>
      </c>
      <c r="I199" s="87"/>
      <c r="J199" s="87"/>
      <c r="K199" s="87"/>
      <c r="L199" s="46"/>
    </row>
    <row r="200" spans="1:12" x14ac:dyDescent="0.25">
      <c r="A200" s="2">
        <v>197</v>
      </c>
      <c r="B200" s="87"/>
      <c r="C200" s="87"/>
      <c r="D200" s="87"/>
      <c r="E200" s="82"/>
      <c r="F200" s="87"/>
      <c r="G200" s="82" t="str">
        <f t="shared" si="79"/>
        <v/>
      </c>
      <c r="H200" s="87">
        <f t="shared" ref="H200:H263" si="84">I200/8</f>
        <v>0</v>
      </c>
      <c r="I200" s="87"/>
      <c r="J200" s="87"/>
      <c r="K200" s="87"/>
      <c r="L200" s="46"/>
    </row>
    <row r="201" spans="1:12" x14ac:dyDescent="0.25">
      <c r="A201" s="2">
        <v>198</v>
      </c>
      <c r="B201" s="87"/>
      <c r="C201" s="87"/>
      <c r="D201" s="87"/>
      <c r="E201" s="82"/>
      <c r="F201" s="87"/>
      <c r="G201" s="82" t="str">
        <f t="shared" si="79"/>
        <v/>
      </c>
      <c r="H201" s="87">
        <f t="shared" si="84"/>
        <v>0</v>
      </c>
      <c r="I201" s="87"/>
      <c r="J201" s="87"/>
      <c r="K201" s="87"/>
      <c r="L201" s="46"/>
    </row>
    <row r="202" spans="1:12" x14ac:dyDescent="0.25">
      <c r="A202" s="2">
        <v>199</v>
      </c>
      <c r="B202" s="87"/>
      <c r="C202" s="87"/>
      <c r="D202" s="87"/>
      <c r="E202" s="82"/>
      <c r="F202" s="87"/>
      <c r="G202" s="82" t="str">
        <f t="shared" si="79"/>
        <v/>
      </c>
      <c r="H202" s="87">
        <f t="shared" si="84"/>
        <v>0</v>
      </c>
      <c r="I202" s="87"/>
      <c r="J202" s="87"/>
      <c r="K202" s="87"/>
      <c r="L202" s="46"/>
    </row>
    <row r="203" spans="1:12" x14ac:dyDescent="0.25">
      <c r="A203" s="2">
        <v>200</v>
      </c>
      <c r="B203" s="87"/>
      <c r="C203" s="87"/>
      <c r="D203" s="87"/>
      <c r="E203" s="82"/>
      <c r="F203" s="87"/>
      <c r="G203" s="82" t="str">
        <f t="shared" si="79"/>
        <v/>
      </c>
      <c r="H203" s="87">
        <f t="shared" si="84"/>
        <v>0</v>
      </c>
      <c r="I203" s="87"/>
      <c r="J203" s="87"/>
      <c r="K203" s="87"/>
      <c r="L203" s="46"/>
    </row>
    <row r="204" spans="1:12" x14ac:dyDescent="0.25">
      <c r="A204" s="2">
        <v>201</v>
      </c>
      <c r="B204" s="87"/>
      <c r="C204" s="87"/>
      <c r="D204" s="87"/>
      <c r="E204" s="82"/>
      <c r="F204" s="87"/>
      <c r="G204" s="82" t="str">
        <f t="shared" si="79"/>
        <v/>
      </c>
      <c r="H204" s="87">
        <f t="shared" si="84"/>
        <v>0</v>
      </c>
      <c r="I204" s="87"/>
      <c r="J204" s="87"/>
      <c r="K204" s="87"/>
      <c r="L204" s="46"/>
    </row>
    <row r="205" spans="1:12" x14ac:dyDescent="0.25">
      <c r="A205" s="2">
        <v>202</v>
      </c>
      <c r="B205" s="87"/>
      <c r="C205" s="87"/>
      <c r="D205" s="87"/>
      <c r="E205" s="82"/>
      <c r="F205" s="87"/>
      <c r="G205" s="82" t="str">
        <f t="shared" si="79"/>
        <v/>
      </c>
      <c r="H205" s="87">
        <f t="shared" si="84"/>
        <v>0</v>
      </c>
      <c r="I205" s="87"/>
      <c r="J205" s="87"/>
      <c r="K205" s="87"/>
      <c r="L205" s="46"/>
    </row>
    <row r="206" spans="1:12" x14ac:dyDescent="0.25">
      <c r="A206" s="2">
        <v>203</v>
      </c>
      <c r="B206" s="87"/>
      <c r="C206" s="87"/>
      <c r="D206" s="87"/>
      <c r="E206" s="82"/>
      <c r="F206" s="87"/>
      <c r="G206" s="82" t="str">
        <f t="shared" si="79"/>
        <v/>
      </c>
      <c r="H206" s="87">
        <f t="shared" si="84"/>
        <v>0</v>
      </c>
      <c r="I206" s="87"/>
      <c r="J206" s="87"/>
      <c r="K206" s="87"/>
      <c r="L206" s="46"/>
    </row>
    <row r="207" spans="1:12" x14ac:dyDescent="0.25">
      <c r="A207" s="2">
        <v>204</v>
      </c>
      <c r="B207" s="87"/>
      <c r="C207" s="87"/>
      <c r="D207" s="87"/>
      <c r="E207" s="82"/>
      <c r="F207" s="87"/>
      <c r="G207" s="82" t="str">
        <f t="shared" si="79"/>
        <v/>
      </c>
      <c r="H207" s="87">
        <f t="shared" si="84"/>
        <v>0</v>
      </c>
      <c r="I207" s="87"/>
      <c r="J207" s="87"/>
      <c r="K207" s="87"/>
      <c r="L207" s="46"/>
    </row>
    <row r="208" spans="1:12" x14ac:dyDescent="0.25">
      <c r="A208" s="2">
        <v>205</v>
      </c>
      <c r="B208" s="87"/>
      <c r="C208" s="87"/>
      <c r="D208" s="87"/>
      <c r="E208" s="82"/>
      <c r="F208" s="87"/>
      <c r="G208" s="82" t="str">
        <f t="shared" si="79"/>
        <v/>
      </c>
      <c r="H208" s="87">
        <f t="shared" si="84"/>
        <v>0</v>
      </c>
      <c r="I208" s="87"/>
      <c r="J208" s="87"/>
      <c r="K208" s="87"/>
      <c r="L208" s="46"/>
    </row>
    <row r="209" spans="1:12" x14ac:dyDescent="0.25">
      <c r="A209" s="2">
        <v>206</v>
      </c>
      <c r="B209" s="87"/>
      <c r="C209" s="87"/>
      <c r="D209" s="87"/>
      <c r="E209" s="82"/>
      <c r="F209" s="87"/>
      <c r="G209" s="82" t="str">
        <f t="shared" si="79"/>
        <v/>
      </c>
      <c r="H209" s="87">
        <f t="shared" si="84"/>
        <v>0</v>
      </c>
      <c r="I209" s="87"/>
      <c r="J209" s="87"/>
      <c r="K209" s="87"/>
      <c r="L209" s="46"/>
    </row>
    <row r="210" spans="1:12" x14ac:dyDescent="0.25">
      <c r="A210" s="2">
        <v>207</v>
      </c>
      <c r="B210" s="87"/>
      <c r="C210" s="87"/>
      <c r="D210" s="87"/>
      <c r="E210" s="82"/>
      <c r="F210" s="87"/>
      <c r="G210" s="82" t="str">
        <f t="shared" si="79"/>
        <v/>
      </c>
      <c r="H210" s="87">
        <f t="shared" si="84"/>
        <v>0</v>
      </c>
      <c r="I210" s="87"/>
      <c r="J210" s="87"/>
      <c r="K210" s="87"/>
      <c r="L210" s="46"/>
    </row>
    <row r="211" spans="1:12" x14ac:dyDescent="0.25">
      <c r="A211" s="2">
        <v>208</v>
      </c>
      <c r="B211" s="87"/>
      <c r="C211" s="87"/>
      <c r="D211" s="87"/>
      <c r="E211" s="82"/>
      <c r="F211" s="87"/>
      <c r="G211" s="82" t="str">
        <f t="shared" si="79"/>
        <v/>
      </c>
      <c r="H211" s="87">
        <f t="shared" si="84"/>
        <v>0</v>
      </c>
      <c r="I211" s="87"/>
      <c r="J211" s="87"/>
      <c r="K211" s="87"/>
      <c r="L211" s="46"/>
    </row>
    <row r="212" spans="1:12" x14ac:dyDescent="0.25">
      <c r="A212" s="2">
        <v>209</v>
      </c>
      <c r="B212" s="87"/>
      <c r="C212" s="87"/>
      <c r="D212" s="87"/>
      <c r="E212" s="82"/>
      <c r="F212" s="87"/>
      <c r="G212" s="82" t="str">
        <f t="shared" si="79"/>
        <v/>
      </c>
      <c r="H212" s="87">
        <f t="shared" si="84"/>
        <v>0</v>
      </c>
      <c r="I212" s="87"/>
      <c r="J212" s="87"/>
      <c r="K212" s="87"/>
      <c r="L212" s="46"/>
    </row>
    <row r="213" spans="1:12" x14ac:dyDescent="0.25">
      <c r="A213" s="2">
        <v>210</v>
      </c>
      <c r="B213" s="87"/>
      <c r="C213" s="87"/>
      <c r="D213" s="87"/>
      <c r="E213" s="82"/>
      <c r="F213" s="87"/>
      <c r="G213" s="82" t="str">
        <f t="shared" si="79"/>
        <v/>
      </c>
      <c r="H213" s="87">
        <f t="shared" si="84"/>
        <v>0</v>
      </c>
      <c r="I213" s="87"/>
      <c r="J213" s="87"/>
      <c r="K213" s="87"/>
      <c r="L213" s="46"/>
    </row>
    <row r="214" spans="1:12" x14ac:dyDescent="0.25">
      <c r="A214" s="2">
        <v>211</v>
      </c>
      <c r="B214" s="87"/>
      <c r="C214" s="87"/>
      <c r="D214" s="87"/>
      <c r="E214" s="82"/>
      <c r="F214" s="87"/>
      <c r="G214" s="82" t="str">
        <f t="shared" si="79"/>
        <v/>
      </c>
      <c r="H214" s="87">
        <f t="shared" si="84"/>
        <v>0</v>
      </c>
      <c r="I214" s="87"/>
      <c r="J214" s="87"/>
      <c r="K214" s="87"/>
      <c r="L214" s="46"/>
    </row>
    <row r="215" spans="1:12" x14ac:dyDescent="0.25">
      <c r="A215" s="2">
        <v>212</v>
      </c>
      <c r="B215" s="87"/>
      <c r="C215" s="87"/>
      <c r="D215" s="87"/>
      <c r="E215" s="82"/>
      <c r="F215" s="87"/>
      <c r="G215" s="82" t="str">
        <f t="shared" si="79"/>
        <v/>
      </c>
      <c r="H215" s="87">
        <f t="shared" si="84"/>
        <v>0</v>
      </c>
      <c r="I215" s="87"/>
      <c r="J215" s="87"/>
      <c r="K215" s="87"/>
      <c r="L215" s="46"/>
    </row>
    <row r="216" spans="1:12" x14ac:dyDescent="0.25">
      <c r="A216" s="2">
        <v>213</v>
      </c>
      <c r="B216" s="87"/>
      <c r="C216" s="87"/>
      <c r="D216" s="87"/>
      <c r="E216" s="82"/>
      <c r="F216" s="87"/>
      <c r="G216" s="82" t="str">
        <f t="shared" si="79"/>
        <v/>
      </c>
      <c r="H216" s="87">
        <f t="shared" si="84"/>
        <v>0</v>
      </c>
      <c r="I216" s="87"/>
      <c r="J216" s="87"/>
      <c r="K216" s="87"/>
      <c r="L216" s="46"/>
    </row>
    <row r="217" spans="1:12" x14ac:dyDescent="0.25">
      <c r="A217" s="2">
        <v>214</v>
      </c>
      <c r="B217" s="87"/>
      <c r="C217" s="87"/>
      <c r="D217" s="87"/>
      <c r="E217" s="82"/>
      <c r="F217" s="87"/>
      <c r="G217" s="82" t="str">
        <f t="shared" si="79"/>
        <v/>
      </c>
      <c r="H217" s="87">
        <f t="shared" si="84"/>
        <v>0</v>
      </c>
      <c r="I217" s="87"/>
      <c r="J217" s="87"/>
      <c r="K217" s="87"/>
      <c r="L217" s="46"/>
    </row>
    <row r="218" spans="1:12" x14ac:dyDescent="0.25">
      <c r="A218" s="2">
        <v>215</v>
      </c>
      <c r="B218" s="87"/>
      <c r="C218" s="87"/>
      <c r="D218" s="87"/>
      <c r="E218" s="82"/>
      <c r="F218" s="87"/>
      <c r="G218" s="82" t="str">
        <f t="shared" si="79"/>
        <v/>
      </c>
      <c r="H218" s="87">
        <f t="shared" si="84"/>
        <v>0</v>
      </c>
      <c r="I218" s="87"/>
      <c r="J218" s="87"/>
      <c r="K218" s="87"/>
      <c r="L218" s="46"/>
    </row>
    <row r="219" spans="1:12" x14ac:dyDescent="0.25">
      <c r="A219" s="2">
        <v>216</v>
      </c>
      <c r="B219" s="87"/>
      <c r="C219" s="87"/>
      <c r="D219" s="87"/>
      <c r="E219" s="82"/>
      <c r="F219" s="87"/>
      <c r="G219" s="82" t="str">
        <f t="shared" si="79"/>
        <v/>
      </c>
      <c r="H219" s="87">
        <f t="shared" si="84"/>
        <v>0</v>
      </c>
      <c r="I219" s="87"/>
      <c r="J219" s="87"/>
      <c r="K219" s="87"/>
      <c r="L219" s="46"/>
    </row>
    <row r="220" spans="1:12" x14ac:dyDescent="0.25">
      <c r="A220" s="2">
        <v>217</v>
      </c>
      <c r="B220" s="87"/>
      <c r="C220" s="87"/>
      <c r="D220" s="87"/>
      <c r="E220" s="82"/>
      <c r="F220" s="87"/>
      <c r="G220" s="82" t="str">
        <f t="shared" si="79"/>
        <v/>
      </c>
      <c r="H220" s="87">
        <f t="shared" si="84"/>
        <v>0</v>
      </c>
      <c r="I220" s="87"/>
      <c r="J220" s="87"/>
      <c r="K220" s="87"/>
      <c r="L220" s="46"/>
    </row>
    <row r="221" spans="1:12" x14ac:dyDescent="0.25">
      <c r="A221" s="2">
        <v>218</v>
      </c>
      <c r="B221" s="87"/>
      <c r="C221" s="87"/>
      <c r="D221" s="87"/>
      <c r="E221" s="82"/>
      <c r="F221" s="87"/>
      <c r="G221" s="82" t="str">
        <f t="shared" si="79"/>
        <v/>
      </c>
      <c r="H221" s="87">
        <f t="shared" si="84"/>
        <v>0</v>
      </c>
      <c r="I221" s="87"/>
      <c r="J221" s="87"/>
      <c r="K221" s="87"/>
      <c r="L221" s="46"/>
    </row>
    <row r="222" spans="1:12" x14ac:dyDescent="0.25">
      <c r="A222" s="2">
        <v>219</v>
      </c>
      <c r="B222" s="87"/>
      <c r="C222" s="87"/>
      <c r="D222" s="87"/>
      <c r="E222" s="82"/>
      <c r="F222" s="87"/>
      <c r="G222" s="82" t="str">
        <f t="shared" si="79"/>
        <v/>
      </c>
      <c r="H222" s="87">
        <f t="shared" si="84"/>
        <v>0</v>
      </c>
      <c r="I222" s="87"/>
      <c r="J222" s="87"/>
      <c r="K222" s="87"/>
      <c r="L222" s="46"/>
    </row>
    <row r="223" spans="1:12" x14ac:dyDescent="0.25">
      <c r="A223" s="2">
        <v>220</v>
      </c>
      <c r="B223" s="87"/>
      <c r="C223" s="87"/>
      <c r="D223" s="87"/>
      <c r="E223" s="82"/>
      <c r="F223" s="87"/>
      <c r="G223" s="82" t="str">
        <f t="shared" si="79"/>
        <v/>
      </c>
      <c r="H223" s="87">
        <f t="shared" si="84"/>
        <v>0</v>
      </c>
      <c r="I223" s="87"/>
      <c r="J223" s="87"/>
      <c r="K223" s="87"/>
      <c r="L223" s="46"/>
    </row>
    <row r="224" spans="1:12" x14ac:dyDescent="0.25">
      <c r="A224" s="2">
        <v>221</v>
      </c>
      <c r="B224" s="87"/>
      <c r="C224" s="87"/>
      <c r="D224" s="87"/>
      <c r="E224" s="82"/>
      <c r="F224" s="87"/>
      <c r="G224" s="82" t="str">
        <f t="shared" si="79"/>
        <v/>
      </c>
      <c r="H224" s="87">
        <f t="shared" si="84"/>
        <v>0</v>
      </c>
      <c r="I224" s="87"/>
      <c r="J224" s="87"/>
      <c r="K224" s="87"/>
      <c r="L224" s="46"/>
    </row>
    <row r="225" spans="1:12" x14ac:dyDescent="0.25">
      <c r="A225" s="2">
        <v>222</v>
      </c>
      <c r="B225" s="87"/>
      <c r="C225" s="87"/>
      <c r="D225" s="87"/>
      <c r="E225" s="82"/>
      <c r="F225" s="87"/>
      <c r="G225" s="82" t="str">
        <f t="shared" si="79"/>
        <v/>
      </c>
      <c r="H225" s="87">
        <f t="shared" si="84"/>
        <v>0</v>
      </c>
      <c r="I225" s="87"/>
      <c r="J225" s="87"/>
      <c r="K225" s="87"/>
      <c r="L225" s="46"/>
    </row>
    <row r="226" spans="1:12" x14ac:dyDescent="0.25">
      <c r="A226" s="2">
        <v>223</v>
      </c>
      <c r="B226" s="87"/>
      <c r="C226" s="87"/>
      <c r="D226" s="87"/>
      <c r="E226" s="82"/>
      <c r="F226" s="87"/>
      <c r="G226" s="82" t="str">
        <f t="shared" si="79"/>
        <v/>
      </c>
      <c r="H226" s="87">
        <f t="shared" si="84"/>
        <v>0</v>
      </c>
      <c r="I226" s="87"/>
      <c r="J226" s="87"/>
      <c r="K226" s="87"/>
      <c r="L226" s="46"/>
    </row>
    <row r="227" spans="1:12" x14ac:dyDescent="0.25">
      <c r="A227" s="2">
        <v>224</v>
      </c>
      <c r="B227" s="87"/>
      <c r="C227" s="87"/>
      <c r="D227" s="87"/>
      <c r="E227" s="82"/>
      <c r="F227" s="87"/>
      <c r="G227" s="82" t="str">
        <f t="shared" si="79"/>
        <v/>
      </c>
      <c r="H227" s="87">
        <f t="shared" si="84"/>
        <v>0</v>
      </c>
      <c r="I227" s="87"/>
      <c r="J227" s="87"/>
      <c r="K227" s="87"/>
      <c r="L227" s="46"/>
    </row>
    <row r="228" spans="1:12" x14ac:dyDescent="0.25">
      <c r="A228" s="2">
        <v>225</v>
      </c>
      <c r="B228" s="87"/>
      <c r="C228" s="87"/>
      <c r="D228" s="87"/>
      <c r="E228" s="82"/>
      <c r="F228" s="87"/>
      <c r="G228" s="82" t="str">
        <f t="shared" si="79"/>
        <v/>
      </c>
      <c r="H228" s="87">
        <f t="shared" si="84"/>
        <v>0</v>
      </c>
      <c r="I228" s="87"/>
      <c r="J228" s="87"/>
      <c r="K228" s="87"/>
      <c r="L228" s="46"/>
    </row>
    <row r="229" spans="1:12" x14ac:dyDescent="0.25">
      <c r="A229" s="2">
        <v>226</v>
      </c>
      <c r="B229" s="87"/>
      <c r="C229" s="87"/>
      <c r="D229" s="87"/>
      <c r="E229" s="82"/>
      <c r="F229" s="87"/>
      <c r="G229" s="82" t="str">
        <f t="shared" si="79"/>
        <v/>
      </c>
      <c r="H229" s="87">
        <f t="shared" si="84"/>
        <v>0</v>
      </c>
      <c r="I229" s="87"/>
      <c r="J229" s="87"/>
      <c r="K229" s="87"/>
      <c r="L229" s="46"/>
    </row>
    <row r="230" spans="1:12" x14ac:dyDescent="0.25">
      <c r="A230" s="2">
        <v>227</v>
      </c>
      <c r="B230" s="87"/>
      <c r="C230" s="87"/>
      <c r="D230" s="87"/>
      <c r="E230" s="82"/>
      <c r="F230" s="87"/>
      <c r="G230" s="82" t="str">
        <f t="shared" si="79"/>
        <v/>
      </c>
      <c r="H230" s="87">
        <f t="shared" si="84"/>
        <v>0</v>
      </c>
      <c r="I230" s="87"/>
      <c r="J230" s="87"/>
      <c r="K230" s="87"/>
      <c r="L230" s="46"/>
    </row>
    <row r="231" spans="1:12" x14ac:dyDescent="0.25">
      <c r="A231" s="2">
        <v>228</v>
      </c>
      <c r="B231" s="87"/>
      <c r="C231" s="87"/>
      <c r="D231" s="87"/>
      <c r="E231" s="82"/>
      <c r="F231" s="87"/>
      <c r="G231" s="82" t="str">
        <f t="shared" si="79"/>
        <v/>
      </c>
      <c r="H231" s="87">
        <f t="shared" si="84"/>
        <v>0</v>
      </c>
      <c r="I231" s="87"/>
      <c r="J231" s="87"/>
      <c r="K231" s="87"/>
      <c r="L231" s="46"/>
    </row>
    <row r="232" spans="1:12" x14ac:dyDescent="0.25">
      <c r="A232" s="2">
        <v>229</v>
      </c>
      <c r="B232" s="87"/>
      <c r="C232" s="87"/>
      <c r="D232" s="87"/>
      <c r="E232" s="82"/>
      <c r="F232" s="87"/>
      <c r="G232" s="82" t="str">
        <f t="shared" si="79"/>
        <v/>
      </c>
      <c r="H232" s="87">
        <f t="shared" si="84"/>
        <v>0</v>
      </c>
      <c r="I232" s="87"/>
      <c r="J232" s="87"/>
      <c r="K232" s="87"/>
      <c r="L232" s="46"/>
    </row>
    <row r="233" spans="1:12" x14ac:dyDescent="0.25">
      <c r="A233" s="2">
        <v>230</v>
      </c>
      <c r="B233" s="87"/>
      <c r="C233" s="87"/>
      <c r="D233" s="87"/>
      <c r="E233" s="82"/>
      <c r="F233" s="87"/>
      <c r="G233" s="82" t="str">
        <f t="shared" ref="G233:G296" si="85">CONCATENATE(B233,C233,D233,E233,F233)</f>
        <v/>
      </c>
      <c r="H233" s="87">
        <f t="shared" si="84"/>
        <v>0</v>
      </c>
      <c r="I233" s="87"/>
      <c r="J233" s="87"/>
      <c r="K233" s="87"/>
      <c r="L233" s="46"/>
    </row>
    <row r="234" spans="1:12" x14ac:dyDescent="0.25">
      <c r="A234" s="2">
        <v>231</v>
      </c>
      <c r="B234" s="87"/>
      <c r="C234" s="87"/>
      <c r="D234" s="87"/>
      <c r="E234" s="82"/>
      <c r="F234" s="87"/>
      <c r="G234" s="82" t="str">
        <f t="shared" si="85"/>
        <v/>
      </c>
      <c r="H234" s="87">
        <f t="shared" si="84"/>
        <v>0</v>
      </c>
      <c r="I234" s="87"/>
      <c r="J234" s="87"/>
      <c r="K234" s="87"/>
      <c r="L234" s="46"/>
    </row>
    <row r="235" spans="1:12" x14ac:dyDescent="0.25">
      <c r="A235" s="2">
        <v>232</v>
      </c>
      <c r="B235" s="87"/>
      <c r="C235" s="87"/>
      <c r="D235" s="87"/>
      <c r="E235" s="82"/>
      <c r="F235" s="87"/>
      <c r="G235" s="82" t="str">
        <f t="shared" si="85"/>
        <v/>
      </c>
      <c r="H235" s="87">
        <f t="shared" si="84"/>
        <v>0</v>
      </c>
      <c r="I235" s="87"/>
      <c r="J235" s="87"/>
      <c r="K235" s="87"/>
      <c r="L235" s="46"/>
    </row>
    <row r="236" spans="1:12" x14ac:dyDescent="0.25">
      <c r="A236" s="2">
        <v>233</v>
      </c>
      <c r="B236" s="87"/>
      <c r="C236" s="87"/>
      <c r="D236" s="87"/>
      <c r="E236" s="82"/>
      <c r="F236" s="87"/>
      <c r="G236" s="82" t="str">
        <f t="shared" si="85"/>
        <v/>
      </c>
      <c r="H236" s="87">
        <f t="shared" si="84"/>
        <v>0</v>
      </c>
      <c r="I236" s="87"/>
      <c r="J236" s="87"/>
      <c r="K236" s="87"/>
      <c r="L236" s="46"/>
    </row>
    <row r="237" spans="1:12" x14ac:dyDescent="0.25">
      <c r="A237" s="2">
        <v>234</v>
      </c>
      <c r="B237" s="87"/>
      <c r="C237" s="87"/>
      <c r="D237" s="87"/>
      <c r="E237" s="82"/>
      <c r="F237" s="87"/>
      <c r="G237" s="82" t="str">
        <f t="shared" si="85"/>
        <v/>
      </c>
      <c r="H237" s="87">
        <f t="shared" si="84"/>
        <v>0</v>
      </c>
      <c r="I237" s="87"/>
      <c r="J237" s="87"/>
      <c r="K237" s="87"/>
      <c r="L237" s="46"/>
    </row>
    <row r="238" spans="1:12" x14ac:dyDescent="0.25">
      <c r="A238" s="2">
        <v>235</v>
      </c>
      <c r="B238" s="87"/>
      <c r="C238" s="87"/>
      <c r="D238" s="87"/>
      <c r="E238" s="82"/>
      <c r="F238" s="87"/>
      <c r="G238" s="82" t="str">
        <f t="shared" si="85"/>
        <v/>
      </c>
      <c r="H238" s="87">
        <f t="shared" si="84"/>
        <v>0</v>
      </c>
      <c r="I238" s="87"/>
      <c r="J238" s="87"/>
      <c r="K238" s="87"/>
      <c r="L238" s="46"/>
    </row>
    <row r="239" spans="1:12" x14ac:dyDescent="0.25">
      <c r="A239" s="2">
        <v>236</v>
      </c>
      <c r="B239" s="87"/>
      <c r="C239" s="87"/>
      <c r="D239" s="87"/>
      <c r="E239" s="82"/>
      <c r="F239" s="87"/>
      <c r="G239" s="82" t="str">
        <f t="shared" si="85"/>
        <v/>
      </c>
      <c r="H239" s="87">
        <f t="shared" si="84"/>
        <v>0</v>
      </c>
      <c r="I239" s="87"/>
      <c r="J239" s="87"/>
      <c r="K239" s="87"/>
      <c r="L239" s="46"/>
    </row>
    <row r="240" spans="1:12" x14ac:dyDescent="0.25">
      <c r="A240" s="2">
        <v>237</v>
      </c>
      <c r="B240" s="87"/>
      <c r="C240" s="87"/>
      <c r="D240" s="87"/>
      <c r="E240" s="82"/>
      <c r="F240" s="87"/>
      <c r="G240" s="82" t="str">
        <f t="shared" si="85"/>
        <v/>
      </c>
      <c r="H240" s="87">
        <f t="shared" si="84"/>
        <v>0</v>
      </c>
      <c r="I240" s="87"/>
      <c r="J240" s="87"/>
      <c r="K240" s="87"/>
      <c r="L240" s="46"/>
    </row>
    <row r="241" spans="1:12" x14ac:dyDescent="0.25">
      <c r="A241" s="2">
        <v>238</v>
      </c>
      <c r="B241" s="87"/>
      <c r="C241" s="87"/>
      <c r="D241" s="87"/>
      <c r="E241" s="82"/>
      <c r="F241" s="87"/>
      <c r="G241" s="82" t="str">
        <f t="shared" si="85"/>
        <v/>
      </c>
      <c r="H241" s="87">
        <f t="shared" si="84"/>
        <v>0</v>
      </c>
      <c r="I241" s="87"/>
      <c r="J241" s="87"/>
      <c r="K241" s="87"/>
      <c r="L241" s="46"/>
    </row>
    <row r="242" spans="1:12" x14ac:dyDescent="0.25">
      <c r="A242" s="2">
        <v>239</v>
      </c>
      <c r="B242" s="87"/>
      <c r="C242" s="87"/>
      <c r="D242" s="87"/>
      <c r="E242" s="82"/>
      <c r="F242" s="87"/>
      <c r="G242" s="82" t="str">
        <f t="shared" si="85"/>
        <v/>
      </c>
      <c r="H242" s="87">
        <f t="shared" si="84"/>
        <v>0</v>
      </c>
      <c r="I242" s="87"/>
      <c r="J242" s="87"/>
      <c r="K242" s="87"/>
      <c r="L242" s="46"/>
    </row>
    <row r="243" spans="1:12" x14ac:dyDescent="0.25">
      <c r="A243" s="2">
        <v>240</v>
      </c>
      <c r="B243" s="87"/>
      <c r="C243" s="87"/>
      <c r="D243" s="87"/>
      <c r="E243" s="82"/>
      <c r="F243" s="87"/>
      <c r="G243" s="82" t="str">
        <f t="shared" si="85"/>
        <v/>
      </c>
      <c r="H243" s="87">
        <f t="shared" si="84"/>
        <v>0</v>
      </c>
      <c r="I243" s="87"/>
      <c r="J243" s="87"/>
      <c r="K243" s="87"/>
      <c r="L243" s="46"/>
    </row>
    <row r="244" spans="1:12" x14ac:dyDescent="0.25">
      <c r="A244" s="2">
        <v>241</v>
      </c>
      <c r="B244" s="87"/>
      <c r="C244" s="87"/>
      <c r="D244" s="87"/>
      <c r="E244" s="82"/>
      <c r="F244" s="87"/>
      <c r="G244" s="82" t="str">
        <f t="shared" si="85"/>
        <v/>
      </c>
      <c r="H244" s="87">
        <f t="shared" si="84"/>
        <v>0</v>
      </c>
      <c r="I244" s="87"/>
      <c r="J244" s="87"/>
      <c r="K244" s="87"/>
      <c r="L244" s="46"/>
    </row>
    <row r="245" spans="1:12" x14ac:dyDescent="0.25">
      <c r="A245" s="2">
        <v>242</v>
      </c>
      <c r="B245" s="87"/>
      <c r="C245" s="87"/>
      <c r="D245" s="87"/>
      <c r="E245" s="82"/>
      <c r="F245" s="87"/>
      <c r="G245" s="82" t="str">
        <f t="shared" si="85"/>
        <v/>
      </c>
      <c r="H245" s="87">
        <f t="shared" si="84"/>
        <v>0</v>
      </c>
      <c r="I245" s="87"/>
      <c r="J245" s="87"/>
      <c r="K245" s="87"/>
      <c r="L245" s="46"/>
    </row>
    <row r="246" spans="1:12" x14ac:dyDescent="0.25">
      <c r="A246" s="2">
        <v>243</v>
      </c>
      <c r="B246" s="87"/>
      <c r="C246" s="87"/>
      <c r="D246" s="87"/>
      <c r="E246" s="82"/>
      <c r="F246" s="87"/>
      <c r="G246" s="82" t="str">
        <f t="shared" si="85"/>
        <v/>
      </c>
      <c r="H246" s="87">
        <f t="shared" si="84"/>
        <v>0</v>
      </c>
      <c r="I246" s="87"/>
      <c r="J246" s="87"/>
      <c r="K246" s="87"/>
      <c r="L246" s="46"/>
    </row>
    <row r="247" spans="1:12" x14ac:dyDescent="0.25">
      <c r="A247" s="2">
        <v>244</v>
      </c>
      <c r="B247" s="87"/>
      <c r="C247" s="87"/>
      <c r="D247" s="87"/>
      <c r="E247" s="82"/>
      <c r="F247" s="87"/>
      <c r="G247" s="82" t="str">
        <f t="shared" si="85"/>
        <v/>
      </c>
      <c r="H247" s="87">
        <f t="shared" si="84"/>
        <v>0</v>
      </c>
      <c r="I247" s="87"/>
      <c r="J247" s="87"/>
      <c r="K247" s="87"/>
      <c r="L247" s="46"/>
    </row>
    <row r="248" spans="1:12" x14ac:dyDescent="0.25">
      <c r="A248" s="2">
        <v>245</v>
      </c>
      <c r="B248" s="87"/>
      <c r="C248" s="87"/>
      <c r="D248" s="87"/>
      <c r="E248" s="82"/>
      <c r="F248" s="87"/>
      <c r="G248" s="82" t="str">
        <f t="shared" si="85"/>
        <v/>
      </c>
      <c r="H248" s="87">
        <f t="shared" si="84"/>
        <v>0</v>
      </c>
      <c r="I248" s="87"/>
      <c r="J248" s="87"/>
      <c r="K248" s="87"/>
      <c r="L248" s="46"/>
    </row>
    <row r="249" spans="1:12" x14ac:dyDescent="0.25">
      <c r="A249" s="2">
        <v>246</v>
      </c>
      <c r="B249" s="87"/>
      <c r="C249" s="87"/>
      <c r="D249" s="87"/>
      <c r="E249" s="82"/>
      <c r="F249" s="87"/>
      <c r="G249" s="82" t="str">
        <f t="shared" si="85"/>
        <v/>
      </c>
      <c r="H249" s="87">
        <f t="shared" si="84"/>
        <v>0</v>
      </c>
      <c r="I249" s="87"/>
      <c r="J249" s="87"/>
      <c r="K249" s="87"/>
      <c r="L249" s="46"/>
    </row>
    <row r="250" spans="1:12" x14ac:dyDescent="0.25">
      <c r="A250" s="2">
        <v>247</v>
      </c>
      <c r="B250" s="87"/>
      <c r="C250" s="87"/>
      <c r="D250" s="87"/>
      <c r="E250" s="82"/>
      <c r="F250" s="87"/>
      <c r="G250" s="82" t="str">
        <f t="shared" si="85"/>
        <v/>
      </c>
      <c r="H250" s="87">
        <f t="shared" si="84"/>
        <v>0</v>
      </c>
      <c r="I250" s="87"/>
      <c r="J250" s="87"/>
      <c r="K250" s="87"/>
      <c r="L250" s="46"/>
    </row>
    <row r="251" spans="1:12" x14ac:dyDescent="0.25">
      <c r="A251" s="2">
        <v>248</v>
      </c>
      <c r="B251" s="87"/>
      <c r="C251" s="87"/>
      <c r="D251" s="87"/>
      <c r="E251" s="82"/>
      <c r="F251" s="87"/>
      <c r="G251" s="82" t="str">
        <f t="shared" si="85"/>
        <v/>
      </c>
      <c r="H251" s="87">
        <f t="shared" si="84"/>
        <v>0</v>
      </c>
      <c r="I251" s="87"/>
      <c r="J251" s="87"/>
      <c r="K251" s="87"/>
      <c r="L251" s="46"/>
    </row>
    <row r="252" spans="1:12" x14ac:dyDescent="0.25">
      <c r="A252" s="2">
        <v>249</v>
      </c>
      <c r="B252" s="87"/>
      <c r="C252" s="87"/>
      <c r="D252" s="87"/>
      <c r="E252" s="82"/>
      <c r="F252" s="87"/>
      <c r="G252" s="82" t="str">
        <f t="shared" si="85"/>
        <v/>
      </c>
      <c r="H252" s="87">
        <f t="shared" si="84"/>
        <v>0</v>
      </c>
      <c r="I252" s="87"/>
      <c r="J252" s="87"/>
      <c r="K252" s="87"/>
      <c r="L252" s="46"/>
    </row>
    <row r="253" spans="1:12" x14ac:dyDescent="0.25">
      <c r="A253" s="2">
        <v>250</v>
      </c>
      <c r="B253" s="87"/>
      <c r="C253" s="87"/>
      <c r="D253" s="87"/>
      <c r="E253" s="82"/>
      <c r="F253" s="87"/>
      <c r="G253" s="82" t="str">
        <f t="shared" si="85"/>
        <v/>
      </c>
      <c r="H253" s="87">
        <f t="shared" si="84"/>
        <v>0</v>
      </c>
      <c r="I253" s="87"/>
      <c r="J253" s="87"/>
      <c r="K253" s="87"/>
      <c r="L253" s="46"/>
    </row>
    <row r="254" spans="1:12" x14ac:dyDescent="0.25">
      <c r="A254" s="2">
        <v>251</v>
      </c>
      <c r="B254" s="87"/>
      <c r="C254" s="87"/>
      <c r="D254" s="87"/>
      <c r="E254" s="82"/>
      <c r="F254" s="87"/>
      <c r="G254" s="82" t="str">
        <f t="shared" si="85"/>
        <v/>
      </c>
      <c r="H254" s="87">
        <f t="shared" si="84"/>
        <v>0</v>
      </c>
      <c r="I254" s="87"/>
      <c r="J254" s="87"/>
      <c r="K254" s="87"/>
      <c r="L254" s="46"/>
    </row>
    <row r="255" spans="1:12" x14ac:dyDescent="0.25">
      <c r="A255" s="2">
        <v>252</v>
      </c>
      <c r="B255" s="87"/>
      <c r="C255" s="87"/>
      <c r="D255" s="87"/>
      <c r="E255" s="82"/>
      <c r="F255" s="87"/>
      <c r="G255" s="82" t="str">
        <f t="shared" si="85"/>
        <v/>
      </c>
      <c r="H255" s="87">
        <f t="shared" si="84"/>
        <v>0</v>
      </c>
      <c r="I255" s="87"/>
      <c r="J255" s="87"/>
      <c r="K255" s="87"/>
      <c r="L255" s="46"/>
    </row>
    <row r="256" spans="1:12" x14ac:dyDescent="0.25">
      <c r="A256" s="2">
        <v>253</v>
      </c>
      <c r="B256" s="87"/>
      <c r="C256" s="87"/>
      <c r="D256" s="87"/>
      <c r="E256" s="82"/>
      <c r="F256" s="87"/>
      <c r="G256" s="82" t="str">
        <f t="shared" si="85"/>
        <v/>
      </c>
      <c r="H256" s="87">
        <f t="shared" si="84"/>
        <v>0</v>
      </c>
      <c r="I256" s="87"/>
      <c r="J256" s="87"/>
      <c r="K256" s="87"/>
      <c r="L256" s="46"/>
    </row>
    <row r="257" spans="1:12" x14ac:dyDescent="0.25">
      <c r="A257" s="2">
        <v>254</v>
      </c>
      <c r="B257" s="87"/>
      <c r="C257" s="87"/>
      <c r="D257" s="87"/>
      <c r="E257" s="82"/>
      <c r="F257" s="87"/>
      <c r="G257" s="82" t="str">
        <f t="shared" si="85"/>
        <v/>
      </c>
      <c r="H257" s="87">
        <f t="shared" si="84"/>
        <v>0</v>
      </c>
      <c r="I257" s="87"/>
      <c r="J257" s="87"/>
      <c r="K257" s="87"/>
      <c r="L257" s="46"/>
    </row>
    <row r="258" spans="1:12" x14ac:dyDescent="0.25">
      <c r="A258" s="2">
        <v>255</v>
      </c>
      <c r="B258" s="87"/>
      <c r="C258" s="87"/>
      <c r="D258" s="87"/>
      <c r="E258" s="82"/>
      <c r="F258" s="87"/>
      <c r="G258" s="82" t="str">
        <f t="shared" si="85"/>
        <v/>
      </c>
      <c r="H258" s="87">
        <f t="shared" si="84"/>
        <v>0</v>
      </c>
      <c r="I258" s="87"/>
      <c r="J258" s="87"/>
      <c r="K258" s="87"/>
      <c r="L258" s="46"/>
    </row>
    <row r="259" spans="1:12" x14ac:dyDescent="0.25">
      <c r="A259" s="2">
        <v>256</v>
      </c>
      <c r="B259" s="87"/>
      <c r="C259" s="87"/>
      <c r="D259" s="87"/>
      <c r="E259" s="82"/>
      <c r="F259" s="87"/>
      <c r="G259" s="82" t="str">
        <f t="shared" si="85"/>
        <v/>
      </c>
      <c r="H259" s="87">
        <f t="shared" si="84"/>
        <v>0</v>
      </c>
      <c r="I259" s="87"/>
      <c r="J259" s="87"/>
      <c r="K259" s="87"/>
      <c r="L259" s="46"/>
    </row>
    <row r="260" spans="1:12" x14ac:dyDescent="0.25">
      <c r="A260" s="2">
        <v>257</v>
      </c>
      <c r="B260" s="87"/>
      <c r="C260" s="87"/>
      <c r="D260" s="87"/>
      <c r="E260" s="82"/>
      <c r="F260" s="87"/>
      <c r="G260" s="82" t="str">
        <f t="shared" si="85"/>
        <v/>
      </c>
      <c r="H260" s="87">
        <f t="shared" si="84"/>
        <v>0</v>
      </c>
      <c r="I260" s="87"/>
      <c r="J260" s="87"/>
      <c r="K260" s="87"/>
      <c r="L260" s="46"/>
    </row>
    <row r="261" spans="1:12" x14ac:dyDescent="0.25">
      <c r="A261" s="2">
        <v>258</v>
      </c>
      <c r="B261" s="87"/>
      <c r="C261" s="87"/>
      <c r="D261" s="87"/>
      <c r="E261" s="82"/>
      <c r="F261" s="87"/>
      <c r="G261" s="82" t="str">
        <f t="shared" si="85"/>
        <v/>
      </c>
      <c r="H261" s="87">
        <f t="shared" si="84"/>
        <v>0</v>
      </c>
      <c r="I261" s="87"/>
      <c r="J261" s="87"/>
      <c r="K261" s="87"/>
      <c r="L261" s="46"/>
    </row>
    <row r="262" spans="1:12" x14ac:dyDescent="0.25">
      <c r="A262" s="2">
        <v>259</v>
      </c>
      <c r="B262" s="87"/>
      <c r="C262" s="87"/>
      <c r="D262" s="87"/>
      <c r="E262" s="82"/>
      <c r="F262" s="87"/>
      <c r="G262" s="82" t="str">
        <f t="shared" si="85"/>
        <v/>
      </c>
      <c r="H262" s="87">
        <f t="shared" si="84"/>
        <v>0</v>
      </c>
      <c r="I262" s="87"/>
      <c r="J262" s="87"/>
      <c r="K262" s="87"/>
      <c r="L262" s="46"/>
    </row>
    <row r="263" spans="1:12" x14ac:dyDescent="0.25">
      <c r="A263" s="2">
        <v>260</v>
      </c>
      <c r="B263" s="87"/>
      <c r="C263" s="87"/>
      <c r="D263" s="87"/>
      <c r="E263" s="82"/>
      <c r="F263" s="87"/>
      <c r="G263" s="82" t="str">
        <f t="shared" si="85"/>
        <v/>
      </c>
      <c r="H263" s="87">
        <f t="shared" si="84"/>
        <v>0</v>
      </c>
      <c r="I263" s="87"/>
      <c r="J263" s="87"/>
      <c r="K263" s="87"/>
      <c r="L263" s="46"/>
    </row>
    <row r="264" spans="1:12" x14ac:dyDescent="0.25">
      <c r="A264" s="2">
        <v>261</v>
      </c>
      <c r="B264" s="87"/>
      <c r="C264" s="87"/>
      <c r="D264" s="87"/>
      <c r="E264" s="82"/>
      <c r="F264" s="87"/>
      <c r="G264" s="82" t="str">
        <f t="shared" si="85"/>
        <v/>
      </c>
      <c r="H264" s="87">
        <f t="shared" ref="H264:H327" si="86">I264/8</f>
        <v>0</v>
      </c>
      <c r="I264" s="87"/>
      <c r="J264" s="87"/>
      <c r="K264" s="87"/>
      <c r="L264" s="46"/>
    </row>
    <row r="265" spans="1:12" x14ac:dyDescent="0.25">
      <c r="A265" s="2">
        <v>262</v>
      </c>
      <c r="B265" s="87"/>
      <c r="C265" s="87"/>
      <c r="D265" s="87"/>
      <c r="E265" s="82"/>
      <c r="F265" s="87"/>
      <c r="G265" s="82" t="str">
        <f t="shared" si="85"/>
        <v/>
      </c>
      <c r="H265" s="87">
        <f t="shared" si="86"/>
        <v>0</v>
      </c>
      <c r="I265" s="87"/>
      <c r="J265" s="87"/>
      <c r="K265" s="87"/>
      <c r="L265" s="46"/>
    </row>
    <row r="266" spans="1:12" x14ac:dyDescent="0.25">
      <c r="A266" s="2">
        <v>263</v>
      </c>
      <c r="B266" s="87"/>
      <c r="C266" s="87"/>
      <c r="D266" s="87"/>
      <c r="E266" s="82"/>
      <c r="F266" s="87"/>
      <c r="G266" s="82" t="str">
        <f t="shared" si="85"/>
        <v/>
      </c>
      <c r="H266" s="87">
        <f t="shared" si="86"/>
        <v>0</v>
      </c>
      <c r="I266" s="87"/>
      <c r="J266" s="87"/>
      <c r="K266" s="87"/>
      <c r="L266" s="46"/>
    </row>
    <row r="267" spans="1:12" x14ac:dyDescent="0.25">
      <c r="A267" s="2">
        <v>264</v>
      </c>
      <c r="B267" s="87"/>
      <c r="C267" s="87"/>
      <c r="D267" s="87"/>
      <c r="E267" s="82"/>
      <c r="F267" s="87"/>
      <c r="G267" s="82" t="str">
        <f t="shared" si="85"/>
        <v/>
      </c>
      <c r="H267" s="87">
        <f t="shared" si="86"/>
        <v>0</v>
      </c>
      <c r="I267" s="87"/>
      <c r="J267" s="87"/>
      <c r="K267" s="87"/>
      <c r="L267" s="46"/>
    </row>
    <row r="268" spans="1:12" x14ac:dyDescent="0.25">
      <c r="A268" s="2">
        <v>265</v>
      </c>
      <c r="B268" s="87"/>
      <c r="C268" s="87"/>
      <c r="D268" s="87"/>
      <c r="E268" s="82"/>
      <c r="F268" s="87"/>
      <c r="G268" s="82" t="str">
        <f t="shared" si="85"/>
        <v/>
      </c>
      <c r="H268" s="87">
        <f t="shared" si="86"/>
        <v>0</v>
      </c>
      <c r="I268" s="87"/>
      <c r="J268" s="87"/>
      <c r="K268" s="87"/>
      <c r="L268" s="46"/>
    </row>
    <row r="269" spans="1:12" x14ac:dyDescent="0.25">
      <c r="A269" s="2">
        <v>266</v>
      </c>
      <c r="B269" s="87"/>
      <c r="C269" s="87"/>
      <c r="D269" s="87"/>
      <c r="E269" s="82"/>
      <c r="F269" s="87"/>
      <c r="G269" s="82" t="str">
        <f t="shared" si="85"/>
        <v/>
      </c>
      <c r="H269" s="87">
        <f t="shared" si="86"/>
        <v>0</v>
      </c>
      <c r="I269" s="87"/>
      <c r="J269" s="87"/>
      <c r="K269" s="87"/>
      <c r="L269" s="46"/>
    </row>
    <row r="270" spans="1:12" x14ac:dyDescent="0.25">
      <c r="A270" s="2">
        <v>267</v>
      </c>
      <c r="B270" s="87"/>
      <c r="C270" s="87"/>
      <c r="D270" s="87"/>
      <c r="E270" s="82"/>
      <c r="F270" s="87"/>
      <c r="G270" s="82" t="str">
        <f t="shared" si="85"/>
        <v/>
      </c>
      <c r="H270" s="87">
        <f t="shared" si="86"/>
        <v>0</v>
      </c>
      <c r="I270" s="87"/>
      <c r="J270" s="87"/>
      <c r="K270" s="87"/>
      <c r="L270" s="46"/>
    </row>
    <row r="271" spans="1:12" x14ac:dyDescent="0.25">
      <c r="A271" s="2">
        <v>268</v>
      </c>
      <c r="B271" s="87"/>
      <c r="C271" s="87"/>
      <c r="D271" s="87"/>
      <c r="E271" s="82"/>
      <c r="F271" s="87"/>
      <c r="G271" s="82" t="str">
        <f t="shared" si="85"/>
        <v/>
      </c>
      <c r="H271" s="87">
        <f t="shared" si="86"/>
        <v>0</v>
      </c>
      <c r="I271" s="87"/>
      <c r="J271" s="87"/>
      <c r="K271" s="87"/>
      <c r="L271" s="46"/>
    </row>
    <row r="272" spans="1:12" x14ac:dyDescent="0.25">
      <c r="A272" s="2">
        <v>269</v>
      </c>
      <c r="B272" s="87"/>
      <c r="C272" s="87"/>
      <c r="D272" s="87"/>
      <c r="E272" s="82"/>
      <c r="F272" s="87"/>
      <c r="G272" s="82" t="str">
        <f t="shared" si="85"/>
        <v/>
      </c>
      <c r="H272" s="87">
        <f t="shared" si="86"/>
        <v>0</v>
      </c>
      <c r="I272" s="87"/>
      <c r="J272" s="87"/>
      <c r="K272" s="87"/>
      <c r="L272" s="46"/>
    </row>
    <row r="273" spans="1:12" x14ac:dyDescent="0.25">
      <c r="A273" s="2">
        <v>270</v>
      </c>
      <c r="B273" s="87"/>
      <c r="C273" s="87"/>
      <c r="D273" s="87"/>
      <c r="E273" s="82"/>
      <c r="F273" s="87"/>
      <c r="G273" s="82" t="str">
        <f t="shared" si="85"/>
        <v/>
      </c>
      <c r="H273" s="87">
        <f t="shared" si="86"/>
        <v>0</v>
      </c>
      <c r="I273" s="87"/>
      <c r="J273" s="87"/>
      <c r="K273" s="87"/>
      <c r="L273" s="46"/>
    </row>
    <row r="274" spans="1:12" x14ac:dyDescent="0.25">
      <c r="A274" s="2">
        <v>271</v>
      </c>
      <c r="B274" s="87"/>
      <c r="C274" s="87"/>
      <c r="D274" s="87"/>
      <c r="E274" s="82"/>
      <c r="F274" s="87"/>
      <c r="G274" s="82" t="str">
        <f t="shared" si="85"/>
        <v/>
      </c>
      <c r="H274" s="87">
        <f t="shared" si="86"/>
        <v>0</v>
      </c>
      <c r="I274" s="87"/>
      <c r="J274" s="87"/>
      <c r="K274" s="87"/>
      <c r="L274" s="46"/>
    </row>
    <row r="275" spans="1:12" x14ac:dyDescent="0.25">
      <c r="A275" s="2">
        <v>272</v>
      </c>
      <c r="B275" s="87"/>
      <c r="C275" s="87"/>
      <c r="D275" s="87"/>
      <c r="E275" s="82"/>
      <c r="F275" s="87"/>
      <c r="G275" s="82" t="str">
        <f t="shared" si="85"/>
        <v/>
      </c>
      <c r="H275" s="87">
        <f t="shared" si="86"/>
        <v>0</v>
      </c>
      <c r="I275" s="87"/>
      <c r="J275" s="87"/>
      <c r="K275" s="87"/>
      <c r="L275" s="46"/>
    </row>
    <row r="276" spans="1:12" x14ac:dyDescent="0.25">
      <c r="A276" s="2">
        <v>273</v>
      </c>
      <c r="B276" s="87"/>
      <c r="C276" s="87"/>
      <c r="D276" s="87"/>
      <c r="E276" s="82"/>
      <c r="F276" s="87"/>
      <c r="G276" s="82" t="str">
        <f t="shared" si="85"/>
        <v/>
      </c>
      <c r="H276" s="87">
        <f t="shared" si="86"/>
        <v>0</v>
      </c>
      <c r="I276" s="87"/>
      <c r="J276" s="87"/>
      <c r="K276" s="87"/>
      <c r="L276" s="46"/>
    </row>
    <row r="277" spans="1:12" x14ac:dyDescent="0.25">
      <c r="A277" s="2">
        <v>274</v>
      </c>
      <c r="B277" s="87"/>
      <c r="C277" s="87"/>
      <c r="D277" s="87"/>
      <c r="E277" s="82"/>
      <c r="F277" s="87"/>
      <c r="G277" s="82" t="str">
        <f t="shared" si="85"/>
        <v/>
      </c>
      <c r="H277" s="87">
        <f t="shared" si="86"/>
        <v>0</v>
      </c>
      <c r="I277" s="87"/>
      <c r="J277" s="87"/>
      <c r="K277" s="87"/>
      <c r="L277" s="46"/>
    </row>
    <row r="278" spans="1:12" x14ac:dyDescent="0.25">
      <c r="A278" s="2">
        <v>275</v>
      </c>
      <c r="B278" s="87"/>
      <c r="C278" s="87"/>
      <c r="D278" s="87"/>
      <c r="E278" s="82"/>
      <c r="F278" s="87"/>
      <c r="G278" s="82" t="str">
        <f t="shared" si="85"/>
        <v/>
      </c>
      <c r="H278" s="87">
        <f t="shared" si="86"/>
        <v>0</v>
      </c>
      <c r="I278" s="87"/>
      <c r="J278" s="87"/>
      <c r="K278" s="87"/>
      <c r="L278" s="46"/>
    </row>
    <row r="279" spans="1:12" x14ac:dyDescent="0.25">
      <c r="A279" s="2">
        <v>276</v>
      </c>
      <c r="B279" s="87"/>
      <c r="C279" s="87"/>
      <c r="D279" s="87"/>
      <c r="E279" s="82"/>
      <c r="F279" s="87"/>
      <c r="G279" s="82" t="str">
        <f t="shared" si="85"/>
        <v/>
      </c>
      <c r="H279" s="87">
        <f t="shared" si="86"/>
        <v>0</v>
      </c>
      <c r="I279" s="87"/>
      <c r="J279" s="87"/>
      <c r="K279" s="87"/>
      <c r="L279" s="46"/>
    </row>
    <row r="280" spans="1:12" x14ac:dyDescent="0.25">
      <c r="A280" s="2">
        <v>277</v>
      </c>
      <c r="B280" s="87"/>
      <c r="C280" s="87"/>
      <c r="D280" s="87"/>
      <c r="E280" s="82"/>
      <c r="F280" s="87"/>
      <c r="G280" s="82" t="str">
        <f t="shared" si="85"/>
        <v/>
      </c>
      <c r="H280" s="87">
        <f t="shared" si="86"/>
        <v>0</v>
      </c>
      <c r="I280" s="87"/>
      <c r="J280" s="87"/>
      <c r="K280" s="87"/>
      <c r="L280" s="46"/>
    </row>
    <row r="281" spans="1:12" x14ac:dyDescent="0.25">
      <c r="A281" s="2">
        <v>278</v>
      </c>
      <c r="B281" s="87"/>
      <c r="C281" s="87"/>
      <c r="D281" s="87"/>
      <c r="E281" s="82"/>
      <c r="F281" s="87"/>
      <c r="G281" s="82" t="str">
        <f t="shared" si="85"/>
        <v/>
      </c>
      <c r="H281" s="87">
        <f t="shared" si="86"/>
        <v>0</v>
      </c>
      <c r="I281" s="87"/>
      <c r="J281" s="87"/>
      <c r="K281" s="87"/>
      <c r="L281" s="46"/>
    </row>
    <row r="282" spans="1:12" x14ac:dyDescent="0.25">
      <c r="A282" s="2">
        <v>279</v>
      </c>
      <c r="B282" s="87"/>
      <c r="C282" s="87"/>
      <c r="D282" s="87"/>
      <c r="E282" s="82"/>
      <c r="F282" s="87"/>
      <c r="G282" s="82" t="str">
        <f t="shared" si="85"/>
        <v/>
      </c>
      <c r="H282" s="87">
        <f t="shared" si="86"/>
        <v>0</v>
      </c>
      <c r="I282" s="87"/>
      <c r="J282" s="87"/>
      <c r="K282" s="87"/>
      <c r="L282" s="46"/>
    </row>
    <row r="283" spans="1:12" x14ac:dyDescent="0.25">
      <c r="A283" s="2">
        <v>280</v>
      </c>
      <c r="B283" s="87"/>
      <c r="C283" s="87"/>
      <c r="D283" s="87"/>
      <c r="E283" s="82"/>
      <c r="F283" s="87"/>
      <c r="G283" s="82" t="str">
        <f t="shared" si="85"/>
        <v/>
      </c>
      <c r="H283" s="87">
        <f t="shared" si="86"/>
        <v>0</v>
      </c>
      <c r="I283" s="87"/>
      <c r="J283" s="87"/>
      <c r="K283" s="87"/>
      <c r="L283" s="46"/>
    </row>
    <row r="284" spans="1:12" x14ac:dyDescent="0.25">
      <c r="A284" s="2">
        <v>281</v>
      </c>
      <c r="B284" s="87"/>
      <c r="C284" s="87"/>
      <c r="D284" s="87"/>
      <c r="E284" s="82"/>
      <c r="F284" s="87"/>
      <c r="G284" s="82" t="str">
        <f t="shared" si="85"/>
        <v/>
      </c>
      <c r="H284" s="87">
        <f t="shared" si="86"/>
        <v>0</v>
      </c>
      <c r="I284" s="87"/>
      <c r="J284" s="87"/>
      <c r="K284" s="87"/>
      <c r="L284" s="46"/>
    </row>
    <row r="285" spans="1:12" x14ac:dyDescent="0.25">
      <c r="A285" s="2">
        <v>282</v>
      </c>
      <c r="B285" s="87"/>
      <c r="C285" s="87"/>
      <c r="D285" s="87"/>
      <c r="E285" s="82"/>
      <c r="F285" s="87"/>
      <c r="G285" s="82" t="str">
        <f t="shared" si="85"/>
        <v/>
      </c>
      <c r="H285" s="87">
        <f t="shared" si="86"/>
        <v>0</v>
      </c>
      <c r="I285" s="87"/>
      <c r="J285" s="87"/>
      <c r="K285" s="87"/>
      <c r="L285" s="46"/>
    </row>
    <row r="286" spans="1:12" x14ac:dyDescent="0.25">
      <c r="A286" s="2">
        <v>283</v>
      </c>
      <c r="B286" s="87"/>
      <c r="C286" s="87"/>
      <c r="D286" s="87"/>
      <c r="E286" s="82"/>
      <c r="F286" s="87"/>
      <c r="G286" s="82" t="str">
        <f t="shared" si="85"/>
        <v/>
      </c>
      <c r="H286" s="87">
        <f t="shared" si="86"/>
        <v>0</v>
      </c>
      <c r="I286" s="87"/>
      <c r="J286" s="87"/>
      <c r="K286" s="87"/>
      <c r="L286" s="46"/>
    </row>
    <row r="287" spans="1:12" x14ac:dyDescent="0.25">
      <c r="A287" s="2">
        <v>284</v>
      </c>
      <c r="B287" s="87"/>
      <c r="C287" s="87"/>
      <c r="D287" s="87"/>
      <c r="E287" s="82"/>
      <c r="F287" s="87"/>
      <c r="G287" s="82" t="str">
        <f t="shared" si="85"/>
        <v/>
      </c>
      <c r="H287" s="87">
        <f t="shared" si="86"/>
        <v>0</v>
      </c>
      <c r="I287" s="87"/>
      <c r="J287" s="87"/>
      <c r="K287" s="87"/>
      <c r="L287" s="46"/>
    </row>
    <row r="288" spans="1:12" x14ac:dyDescent="0.25">
      <c r="A288" s="2">
        <v>285</v>
      </c>
      <c r="B288" s="87"/>
      <c r="C288" s="87"/>
      <c r="D288" s="87"/>
      <c r="E288" s="82"/>
      <c r="F288" s="87"/>
      <c r="G288" s="82" t="str">
        <f t="shared" si="85"/>
        <v/>
      </c>
      <c r="H288" s="87">
        <f t="shared" si="86"/>
        <v>0</v>
      </c>
      <c r="I288" s="87"/>
      <c r="J288" s="87"/>
      <c r="K288" s="87"/>
      <c r="L288" s="46"/>
    </row>
    <row r="289" spans="1:12" x14ac:dyDescent="0.25">
      <c r="A289" s="2">
        <v>286</v>
      </c>
      <c r="B289" s="87"/>
      <c r="C289" s="87"/>
      <c r="D289" s="87"/>
      <c r="E289" s="82"/>
      <c r="F289" s="87"/>
      <c r="G289" s="82" t="str">
        <f t="shared" si="85"/>
        <v/>
      </c>
      <c r="H289" s="87">
        <f t="shared" si="86"/>
        <v>0</v>
      </c>
      <c r="I289" s="87"/>
      <c r="J289" s="87"/>
      <c r="K289" s="87"/>
      <c r="L289" s="46"/>
    </row>
    <row r="290" spans="1:12" x14ac:dyDescent="0.25">
      <c r="A290" s="2">
        <v>287</v>
      </c>
      <c r="B290" s="87"/>
      <c r="C290" s="87"/>
      <c r="D290" s="87"/>
      <c r="E290" s="82"/>
      <c r="F290" s="87"/>
      <c r="G290" s="82" t="str">
        <f t="shared" si="85"/>
        <v/>
      </c>
      <c r="H290" s="87">
        <f t="shared" si="86"/>
        <v>0</v>
      </c>
      <c r="I290" s="87"/>
      <c r="J290" s="87"/>
      <c r="K290" s="87"/>
      <c r="L290" s="46"/>
    </row>
    <row r="291" spans="1:12" x14ac:dyDescent="0.25">
      <c r="A291" s="2">
        <v>288</v>
      </c>
      <c r="B291" s="87"/>
      <c r="C291" s="87"/>
      <c r="D291" s="87"/>
      <c r="E291" s="82"/>
      <c r="F291" s="87"/>
      <c r="G291" s="82" t="str">
        <f t="shared" si="85"/>
        <v/>
      </c>
      <c r="H291" s="87">
        <f t="shared" si="86"/>
        <v>0</v>
      </c>
      <c r="I291" s="87"/>
      <c r="J291" s="87"/>
      <c r="K291" s="87"/>
      <c r="L291" s="46"/>
    </row>
    <row r="292" spans="1:12" x14ac:dyDescent="0.25">
      <c r="A292" s="2">
        <v>289</v>
      </c>
      <c r="B292" s="87"/>
      <c r="C292" s="87"/>
      <c r="D292" s="87"/>
      <c r="E292" s="82"/>
      <c r="F292" s="87"/>
      <c r="G292" s="82" t="str">
        <f t="shared" si="85"/>
        <v/>
      </c>
      <c r="H292" s="87">
        <f t="shared" si="86"/>
        <v>0</v>
      </c>
      <c r="I292" s="87"/>
      <c r="J292" s="87"/>
      <c r="K292" s="87"/>
      <c r="L292" s="46"/>
    </row>
    <row r="293" spans="1:12" x14ac:dyDescent="0.25">
      <c r="A293" s="2">
        <v>290</v>
      </c>
      <c r="B293" s="87"/>
      <c r="C293" s="87"/>
      <c r="D293" s="87"/>
      <c r="E293" s="82"/>
      <c r="F293" s="87"/>
      <c r="G293" s="82" t="str">
        <f t="shared" si="85"/>
        <v/>
      </c>
      <c r="H293" s="87">
        <f t="shared" si="86"/>
        <v>0</v>
      </c>
      <c r="I293" s="87"/>
      <c r="J293" s="87"/>
      <c r="K293" s="87"/>
      <c r="L293" s="46"/>
    </row>
    <row r="294" spans="1:12" x14ac:dyDescent="0.25">
      <c r="A294" s="2">
        <v>291</v>
      </c>
      <c r="B294" s="87"/>
      <c r="C294" s="87"/>
      <c r="D294" s="87"/>
      <c r="E294" s="82"/>
      <c r="F294" s="87"/>
      <c r="G294" s="82" t="str">
        <f t="shared" si="85"/>
        <v/>
      </c>
      <c r="H294" s="87">
        <f t="shared" si="86"/>
        <v>0</v>
      </c>
      <c r="I294" s="87"/>
      <c r="J294" s="87"/>
      <c r="K294" s="87"/>
      <c r="L294" s="46"/>
    </row>
    <row r="295" spans="1:12" x14ac:dyDescent="0.25">
      <c r="A295" s="2">
        <v>292</v>
      </c>
      <c r="B295" s="87"/>
      <c r="C295" s="87"/>
      <c r="D295" s="87"/>
      <c r="E295" s="82"/>
      <c r="F295" s="87"/>
      <c r="G295" s="82" t="str">
        <f t="shared" si="85"/>
        <v/>
      </c>
      <c r="H295" s="87">
        <f t="shared" si="86"/>
        <v>0</v>
      </c>
      <c r="I295" s="87"/>
      <c r="J295" s="87"/>
      <c r="K295" s="87"/>
      <c r="L295" s="46"/>
    </row>
    <row r="296" spans="1:12" x14ac:dyDescent="0.25">
      <c r="A296" s="2">
        <v>293</v>
      </c>
      <c r="B296" s="87"/>
      <c r="C296" s="87"/>
      <c r="D296" s="87"/>
      <c r="E296" s="82"/>
      <c r="F296" s="87"/>
      <c r="G296" s="82" t="str">
        <f t="shared" si="85"/>
        <v/>
      </c>
      <c r="H296" s="87">
        <f t="shared" si="86"/>
        <v>0</v>
      </c>
      <c r="I296" s="87"/>
      <c r="J296" s="87"/>
      <c r="K296" s="87"/>
      <c r="L296" s="46"/>
    </row>
    <row r="297" spans="1:12" x14ac:dyDescent="0.25">
      <c r="A297" s="2">
        <v>294</v>
      </c>
      <c r="B297" s="87"/>
      <c r="C297" s="87"/>
      <c r="D297" s="87"/>
      <c r="E297" s="82"/>
      <c r="F297" s="87"/>
      <c r="G297" s="82" t="str">
        <f t="shared" ref="G297:G360" si="87">CONCATENATE(B297,C297,D297,E297,F297)</f>
        <v/>
      </c>
      <c r="H297" s="87">
        <f t="shared" si="86"/>
        <v>0</v>
      </c>
      <c r="I297" s="87"/>
      <c r="J297" s="87"/>
      <c r="K297" s="87"/>
      <c r="L297" s="46"/>
    </row>
    <row r="298" spans="1:12" x14ac:dyDescent="0.25">
      <c r="A298" s="2">
        <v>295</v>
      </c>
      <c r="B298" s="87"/>
      <c r="C298" s="87"/>
      <c r="D298" s="87"/>
      <c r="E298" s="82"/>
      <c r="F298" s="87"/>
      <c r="G298" s="82" t="str">
        <f t="shared" si="87"/>
        <v/>
      </c>
      <c r="H298" s="87">
        <f t="shared" si="86"/>
        <v>0</v>
      </c>
      <c r="I298" s="87"/>
      <c r="J298" s="87"/>
      <c r="K298" s="87"/>
      <c r="L298" s="46"/>
    </row>
    <row r="299" spans="1:12" x14ac:dyDescent="0.25">
      <c r="A299" s="2">
        <v>296</v>
      </c>
      <c r="B299" s="87"/>
      <c r="C299" s="87"/>
      <c r="D299" s="87"/>
      <c r="E299" s="82"/>
      <c r="F299" s="87"/>
      <c r="G299" s="82" t="str">
        <f t="shared" si="87"/>
        <v/>
      </c>
      <c r="H299" s="87">
        <f t="shared" si="86"/>
        <v>0</v>
      </c>
      <c r="I299" s="87"/>
      <c r="J299" s="87"/>
      <c r="K299" s="87"/>
      <c r="L299" s="46"/>
    </row>
    <row r="300" spans="1:12" x14ac:dyDescent="0.25">
      <c r="A300" s="2">
        <v>297</v>
      </c>
      <c r="B300" s="87"/>
      <c r="C300" s="87"/>
      <c r="D300" s="87"/>
      <c r="E300" s="82"/>
      <c r="F300" s="87"/>
      <c r="G300" s="82" t="str">
        <f t="shared" si="87"/>
        <v/>
      </c>
      <c r="H300" s="87">
        <f t="shared" si="86"/>
        <v>0</v>
      </c>
      <c r="I300" s="87"/>
      <c r="J300" s="87"/>
      <c r="K300" s="87"/>
      <c r="L300" s="46"/>
    </row>
    <row r="301" spans="1:12" x14ac:dyDescent="0.25">
      <c r="A301" s="2">
        <v>298</v>
      </c>
      <c r="B301" s="87"/>
      <c r="C301" s="87"/>
      <c r="D301" s="87"/>
      <c r="E301" s="82"/>
      <c r="F301" s="87"/>
      <c r="G301" s="82" t="str">
        <f t="shared" si="87"/>
        <v/>
      </c>
      <c r="H301" s="87">
        <f t="shared" si="86"/>
        <v>0</v>
      </c>
      <c r="I301" s="87"/>
      <c r="J301" s="87"/>
      <c r="K301" s="87"/>
      <c r="L301" s="46"/>
    </row>
    <row r="302" spans="1:12" x14ac:dyDescent="0.25">
      <c r="A302" s="2">
        <v>299</v>
      </c>
      <c r="B302" s="87"/>
      <c r="C302" s="87"/>
      <c r="D302" s="87"/>
      <c r="E302" s="82"/>
      <c r="F302" s="87"/>
      <c r="G302" s="82" t="str">
        <f t="shared" si="87"/>
        <v/>
      </c>
      <c r="H302" s="87">
        <f t="shared" si="86"/>
        <v>0</v>
      </c>
      <c r="I302" s="87"/>
      <c r="J302" s="87"/>
      <c r="K302" s="87"/>
      <c r="L302" s="46"/>
    </row>
    <row r="303" spans="1:12" x14ac:dyDescent="0.25">
      <c r="A303" s="2">
        <v>300</v>
      </c>
      <c r="B303" s="87"/>
      <c r="C303" s="87"/>
      <c r="D303" s="87"/>
      <c r="E303" s="82"/>
      <c r="F303" s="87"/>
      <c r="G303" s="82" t="str">
        <f t="shared" si="87"/>
        <v/>
      </c>
      <c r="H303" s="87">
        <f t="shared" si="86"/>
        <v>0</v>
      </c>
      <c r="I303" s="87"/>
      <c r="J303" s="87"/>
      <c r="K303" s="87"/>
      <c r="L303" s="46"/>
    </row>
    <row r="304" spans="1:12" x14ac:dyDescent="0.25">
      <c r="A304" s="2">
        <v>301</v>
      </c>
      <c r="B304" s="87"/>
      <c r="C304" s="87"/>
      <c r="D304" s="87"/>
      <c r="E304" s="82"/>
      <c r="F304" s="87"/>
      <c r="G304" s="82" t="str">
        <f t="shared" si="87"/>
        <v/>
      </c>
      <c r="H304" s="87">
        <f t="shared" si="86"/>
        <v>0</v>
      </c>
      <c r="I304" s="87"/>
      <c r="J304" s="87"/>
      <c r="K304" s="87"/>
      <c r="L304" s="46"/>
    </row>
    <row r="305" spans="1:12" x14ac:dyDescent="0.25">
      <c r="A305" s="2">
        <v>302</v>
      </c>
      <c r="B305" s="87"/>
      <c r="C305" s="87"/>
      <c r="D305" s="87"/>
      <c r="E305" s="82"/>
      <c r="F305" s="87"/>
      <c r="G305" s="82" t="str">
        <f t="shared" si="87"/>
        <v/>
      </c>
      <c r="H305" s="87">
        <f t="shared" si="86"/>
        <v>0</v>
      </c>
      <c r="I305" s="87"/>
      <c r="J305" s="87"/>
      <c r="K305" s="87"/>
      <c r="L305" s="46"/>
    </row>
    <row r="306" spans="1:12" x14ac:dyDescent="0.25">
      <c r="A306" s="2">
        <v>303</v>
      </c>
      <c r="B306" s="87"/>
      <c r="C306" s="87"/>
      <c r="D306" s="87"/>
      <c r="E306" s="82"/>
      <c r="F306" s="87"/>
      <c r="G306" s="82" t="str">
        <f t="shared" si="87"/>
        <v/>
      </c>
      <c r="H306" s="87">
        <f t="shared" si="86"/>
        <v>0</v>
      </c>
      <c r="I306" s="87"/>
      <c r="J306" s="87"/>
      <c r="K306" s="87"/>
      <c r="L306" s="46"/>
    </row>
    <row r="307" spans="1:12" x14ac:dyDescent="0.25">
      <c r="A307" s="2">
        <v>304</v>
      </c>
      <c r="B307" s="87"/>
      <c r="C307" s="87"/>
      <c r="D307" s="87"/>
      <c r="E307" s="82"/>
      <c r="F307" s="87"/>
      <c r="G307" s="82" t="str">
        <f t="shared" si="87"/>
        <v/>
      </c>
      <c r="H307" s="87">
        <f t="shared" si="86"/>
        <v>0</v>
      </c>
      <c r="I307" s="87"/>
      <c r="J307" s="87"/>
      <c r="K307" s="87"/>
      <c r="L307" s="46"/>
    </row>
    <row r="308" spans="1:12" x14ac:dyDescent="0.25">
      <c r="A308" s="2">
        <v>305</v>
      </c>
      <c r="B308" s="87"/>
      <c r="C308" s="87"/>
      <c r="D308" s="87"/>
      <c r="E308" s="82"/>
      <c r="F308" s="87"/>
      <c r="G308" s="82" t="str">
        <f t="shared" si="87"/>
        <v/>
      </c>
      <c r="H308" s="87">
        <f t="shared" si="86"/>
        <v>0</v>
      </c>
      <c r="I308" s="87"/>
      <c r="J308" s="87"/>
      <c r="K308" s="87"/>
      <c r="L308" s="46"/>
    </row>
    <row r="309" spans="1:12" x14ac:dyDescent="0.25">
      <c r="A309" s="2">
        <v>306</v>
      </c>
      <c r="B309" s="87"/>
      <c r="C309" s="87"/>
      <c r="D309" s="87"/>
      <c r="E309" s="82"/>
      <c r="F309" s="87"/>
      <c r="G309" s="82" t="str">
        <f t="shared" si="87"/>
        <v/>
      </c>
      <c r="H309" s="87">
        <f t="shared" si="86"/>
        <v>0</v>
      </c>
      <c r="I309" s="87"/>
      <c r="J309" s="87"/>
      <c r="K309" s="87"/>
      <c r="L309" s="46"/>
    </row>
    <row r="310" spans="1:12" x14ac:dyDescent="0.25">
      <c r="A310" s="2">
        <v>307</v>
      </c>
      <c r="B310" s="87"/>
      <c r="C310" s="87"/>
      <c r="D310" s="87"/>
      <c r="E310" s="82"/>
      <c r="F310" s="87"/>
      <c r="G310" s="82" t="str">
        <f t="shared" si="87"/>
        <v/>
      </c>
      <c r="H310" s="87">
        <f t="shared" si="86"/>
        <v>0</v>
      </c>
      <c r="I310" s="87"/>
      <c r="J310" s="87"/>
      <c r="K310" s="87"/>
      <c r="L310" s="46"/>
    </row>
    <row r="311" spans="1:12" x14ac:dyDescent="0.25">
      <c r="A311" s="2">
        <v>308</v>
      </c>
      <c r="B311" s="87"/>
      <c r="C311" s="87"/>
      <c r="D311" s="87"/>
      <c r="E311" s="82"/>
      <c r="F311" s="87"/>
      <c r="G311" s="82" t="str">
        <f t="shared" si="87"/>
        <v/>
      </c>
      <c r="H311" s="87">
        <f t="shared" si="86"/>
        <v>0</v>
      </c>
      <c r="I311" s="87"/>
      <c r="J311" s="87"/>
      <c r="K311" s="87"/>
      <c r="L311" s="46"/>
    </row>
    <row r="312" spans="1:12" x14ac:dyDescent="0.25">
      <c r="A312" s="2">
        <v>309</v>
      </c>
      <c r="B312" s="87"/>
      <c r="C312" s="87"/>
      <c r="D312" s="87"/>
      <c r="E312" s="82"/>
      <c r="F312" s="87"/>
      <c r="G312" s="82" t="str">
        <f t="shared" si="87"/>
        <v/>
      </c>
      <c r="H312" s="87">
        <f t="shared" si="86"/>
        <v>0</v>
      </c>
      <c r="I312" s="87"/>
      <c r="J312" s="87"/>
      <c r="K312" s="87"/>
      <c r="L312" s="46"/>
    </row>
    <row r="313" spans="1:12" x14ac:dyDescent="0.25">
      <c r="A313" s="2">
        <v>310</v>
      </c>
      <c r="B313" s="87"/>
      <c r="C313" s="87"/>
      <c r="D313" s="87"/>
      <c r="E313" s="82"/>
      <c r="F313" s="87"/>
      <c r="G313" s="82" t="str">
        <f t="shared" si="87"/>
        <v/>
      </c>
      <c r="H313" s="87">
        <f t="shared" si="86"/>
        <v>0</v>
      </c>
      <c r="I313" s="87"/>
      <c r="J313" s="87"/>
      <c r="K313" s="87"/>
      <c r="L313" s="46"/>
    </row>
    <row r="314" spans="1:12" x14ac:dyDescent="0.25">
      <c r="A314" s="2">
        <v>311</v>
      </c>
      <c r="B314" s="87"/>
      <c r="C314" s="87"/>
      <c r="D314" s="87"/>
      <c r="E314" s="82"/>
      <c r="F314" s="87"/>
      <c r="G314" s="82" t="str">
        <f t="shared" si="87"/>
        <v/>
      </c>
      <c r="H314" s="87">
        <f t="shared" si="86"/>
        <v>0</v>
      </c>
      <c r="I314" s="87"/>
      <c r="J314" s="87"/>
      <c r="K314" s="87"/>
      <c r="L314" s="46"/>
    </row>
    <row r="315" spans="1:12" x14ac:dyDescent="0.25">
      <c r="A315" s="2">
        <v>312</v>
      </c>
      <c r="B315" s="87"/>
      <c r="C315" s="87"/>
      <c r="D315" s="87"/>
      <c r="E315" s="82"/>
      <c r="F315" s="87"/>
      <c r="G315" s="82" t="str">
        <f t="shared" si="87"/>
        <v/>
      </c>
      <c r="H315" s="87">
        <f t="shared" si="86"/>
        <v>0</v>
      </c>
      <c r="I315" s="87"/>
      <c r="J315" s="87"/>
      <c r="K315" s="87"/>
      <c r="L315" s="46"/>
    </row>
    <row r="316" spans="1:12" x14ac:dyDescent="0.25">
      <c r="A316" s="2">
        <v>313</v>
      </c>
      <c r="B316" s="87"/>
      <c r="C316" s="87"/>
      <c r="D316" s="87"/>
      <c r="E316" s="82"/>
      <c r="F316" s="87"/>
      <c r="G316" s="82" t="str">
        <f t="shared" si="87"/>
        <v/>
      </c>
      <c r="H316" s="87">
        <f t="shared" si="86"/>
        <v>0</v>
      </c>
      <c r="I316" s="87"/>
      <c r="J316" s="87"/>
      <c r="K316" s="87"/>
      <c r="L316" s="46"/>
    </row>
    <row r="317" spans="1:12" x14ac:dyDescent="0.25">
      <c r="A317" s="2">
        <v>314</v>
      </c>
      <c r="B317" s="87"/>
      <c r="C317" s="87"/>
      <c r="D317" s="87"/>
      <c r="E317" s="82"/>
      <c r="F317" s="87"/>
      <c r="G317" s="82" t="str">
        <f t="shared" si="87"/>
        <v/>
      </c>
      <c r="H317" s="87">
        <f t="shared" si="86"/>
        <v>0</v>
      </c>
      <c r="I317" s="87"/>
      <c r="J317" s="87"/>
      <c r="K317" s="87"/>
      <c r="L317" s="46"/>
    </row>
    <row r="318" spans="1:12" x14ac:dyDescent="0.25">
      <c r="A318" s="2">
        <v>315</v>
      </c>
      <c r="B318" s="87"/>
      <c r="C318" s="87"/>
      <c r="D318" s="87"/>
      <c r="E318" s="82"/>
      <c r="F318" s="87"/>
      <c r="G318" s="82" t="str">
        <f t="shared" si="87"/>
        <v/>
      </c>
      <c r="H318" s="87">
        <f t="shared" si="86"/>
        <v>0</v>
      </c>
      <c r="I318" s="87"/>
      <c r="J318" s="87"/>
      <c r="K318" s="87"/>
      <c r="L318" s="46"/>
    </row>
    <row r="319" spans="1:12" x14ac:dyDescent="0.25">
      <c r="A319" s="2">
        <v>316</v>
      </c>
      <c r="B319" s="87"/>
      <c r="C319" s="87"/>
      <c r="D319" s="87"/>
      <c r="E319" s="82"/>
      <c r="F319" s="87"/>
      <c r="G319" s="82" t="str">
        <f t="shared" si="87"/>
        <v/>
      </c>
      <c r="H319" s="87">
        <f t="shared" si="86"/>
        <v>0</v>
      </c>
      <c r="I319" s="87"/>
      <c r="J319" s="87"/>
      <c r="K319" s="87"/>
      <c r="L319" s="46"/>
    </row>
    <row r="320" spans="1:12" x14ac:dyDescent="0.25">
      <c r="A320" s="2">
        <v>317</v>
      </c>
      <c r="B320" s="87"/>
      <c r="C320" s="87"/>
      <c r="D320" s="87"/>
      <c r="E320" s="82"/>
      <c r="F320" s="87"/>
      <c r="G320" s="82" t="str">
        <f t="shared" si="87"/>
        <v/>
      </c>
      <c r="H320" s="87">
        <f t="shared" si="86"/>
        <v>0</v>
      </c>
      <c r="I320" s="87"/>
      <c r="J320" s="87"/>
      <c r="K320" s="87"/>
      <c r="L320" s="46"/>
    </row>
    <row r="321" spans="1:12" x14ac:dyDescent="0.25">
      <c r="A321" s="2">
        <v>318</v>
      </c>
      <c r="B321" s="87"/>
      <c r="C321" s="87"/>
      <c r="D321" s="87"/>
      <c r="E321" s="82"/>
      <c r="F321" s="87"/>
      <c r="G321" s="82" t="str">
        <f t="shared" si="87"/>
        <v/>
      </c>
      <c r="H321" s="87">
        <f t="shared" si="86"/>
        <v>0</v>
      </c>
      <c r="I321" s="87"/>
      <c r="J321" s="87"/>
      <c r="K321" s="87"/>
      <c r="L321" s="46"/>
    </row>
    <row r="322" spans="1:12" x14ac:dyDescent="0.25">
      <c r="A322" s="2">
        <v>319</v>
      </c>
      <c r="B322" s="87"/>
      <c r="C322" s="87"/>
      <c r="D322" s="87"/>
      <c r="E322" s="82"/>
      <c r="F322" s="87"/>
      <c r="G322" s="82" t="str">
        <f t="shared" si="87"/>
        <v/>
      </c>
      <c r="H322" s="87">
        <f t="shared" si="86"/>
        <v>0</v>
      </c>
      <c r="I322" s="87"/>
      <c r="J322" s="87"/>
      <c r="K322" s="87"/>
      <c r="L322" s="46"/>
    </row>
    <row r="323" spans="1:12" x14ac:dyDescent="0.25">
      <c r="A323" s="2">
        <v>320</v>
      </c>
      <c r="B323" s="87"/>
      <c r="C323" s="87"/>
      <c r="D323" s="87"/>
      <c r="E323" s="82"/>
      <c r="F323" s="87"/>
      <c r="G323" s="82" t="str">
        <f t="shared" si="87"/>
        <v/>
      </c>
      <c r="H323" s="87">
        <f t="shared" si="86"/>
        <v>0</v>
      </c>
      <c r="I323" s="87"/>
      <c r="J323" s="87"/>
      <c r="K323" s="87"/>
      <c r="L323" s="46"/>
    </row>
    <row r="324" spans="1:12" x14ac:dyDescent="0.25">
      <c r="A324" s="2">
        <v>321</v>
      </c>
      <c r="B324" s="87"/>
      <c r="C324" s="87"/>
      <c r="D324" s="87"/>
      <c r="E324" s="82"/>
      <c r="F324" s="87"/>
      <c r="G324" s="82" t="str">
        <f t="shared" si="87"/>
        <v/>
      </c>
      <c r="H324" s="87">
        <f t="shared" si="86"/>
        <v>0</v>
      </c>
      <c r="I324" s="87"/>
      <c r="J324" s="87"/>
      <c r="K324" s="87"/>
      <c r="L324" s="46"/>
    </row>
    <row r="325" spans="1:12" x14ac:dyDescent="0.25">
      <c r="A325" s="2">
        <v>322</v>
      </c>
      <c r="B325" s="87"/>
      <c r="C325" s="87"/>
      <c r="D325" s="87"/>
      <c r="E325" s="82"/>
      <c r="F325" s="87"/>
      <c r="G325" s="82" t="str">
        <f t="shared" si="87"/>
        <v/>
      </c>
      <c r="H325" s="87">
        <f t="shared" si="86"/>
        <v>0</v>
      </c>
      <c r="I325" s="87"/>
      <c r="J325" s="87"/>
      <c r="K325" s="87"/>
      <c r="L325" s="46"/>
    </row>
    <row r="326" spans="1:12" x14ac:dyDescent="0.25">
      <c r="A326" s="2">
        <v>323</v>
      </c>
      <c r="B326" s="87"/>
      <c r="C326" s="87"/>
      <c r="D326" s="87"/>
      <c r="E326" s="82"/>
      <c r="F326" s="87"/>
      <c r="G326" s="82" t="str">
        <f t="shared" si="87"/>
        <v/>
      </c>
      <c r="H326" s="87">
        <f t="shared" si="86"/>
        <v>0</v>
      </c>
      <c r="I326" s="87"/>
      <c r="J326" s="87"/>
      <c r="K326" s="87"/>
      <c r="L326" s="46"/>
    </row>
    <row r="327" spans="1:12" x14ac:dyDescent="0.25">
      <c r="A327" s="2">
        <v>324</v>
      </c>
      <c r="B327" s="87"/>
      <c r="C327" s="87"/>
      <c r="D327" s="87"/>
      <c r="E327" s="82"/>
      <c r="F327" s="87"/>
      <c r="G327" s="82" t="str">
        <f t="shared" si="87"/>
        <v/>
      </c>
      <c r="H327" s="87">
        <f t="shared" si="86"/>
        <v>0</v>
      </c>
      <c r="I327" s="87"/>
      <c r="J327" s="87"/>
      <c r="K327" s="87"/>
      <c r="L327" s="46"/>
    </row>
    <row r="328" spans="1:12" x14ac:dyDescent="0.25">
      <c r="A328" s="2">
        <v>325</v>
      </c>
      <c r="B328" s="87"/>
      <c r="C328" s="87"/>
      <c r="D328" s="87"/>
      <c r="E328" s="82"/>
      <c r="F328" s="87"/>
      <c r="G328" s="82" t="str">
        <f t="shared" si="87"/>
        <v/>
      </c>
      <c r="H328" s="87">
        <f t="shared" ref="H328:H391" si="88">I328/8</f>
        <v>0</v>
      </c>
      <c r="I328" s="87"/>
      <c r="J328" s="87"/>
      <c r="K328" s="87"/>
      <c r="L328" s="46"/>
    </row>
    <row r="329" spans="1:12" x14ac:dyDescent="0.25">
      <c r="A329" s="2">
        <v>326</v>
      </c>
      <c r="B329" s="87"/>
      <c r="C329" s="87"/>
      <c r="D329" s="87"/>
      <c r="E329" s="82"/>
      <c r="F329" s="87"/>
      <c r="G329" s="82" t="str">
        <f t="shared" si="87"/>
        <v/>
      </c>
      <c r="H329" s="87">
        <f t="shared" si="88"/>
        <v>0</v>
      </c>
      <c r="I329" s="87"/>
      <c r="J329" s="87"/>
      <c r="K329" s="87"/>
      <c r="L329" s="46"/>
    </row>
    <row r="330" spans="1:12" x14ac:dyDescent="0.25">
      <c r="A330" s="2">
        <v>327</v>
      </c>
      <c r="B330" s="87"/>
      <c r="C330" s="87"/>
      <c r="D330" s="87"/>
      <c r="E330" s="82"/>
      <c r="F330" s="87"/>
      <c r="G330" s="82" t="str">
        <f t="shared" si="87"/>
        <v/>
      </c>
      <c r="H330" s="87">
        <f t="shared" si="88"/>
        <v>0</v>
      </c>
      <c r="I330" s="87"/>
      <c r="J330" s="87"/>
      <c r="K330" s="87"/>
      <c r="L330" s="46"/>
    </row>
    <row r="331" spans="1:12" x14ac:dyDescent="0.25">
      <c r="A331" s="2">
        <v>328</v>
      </c>
      <c r="B331" s="87"/>
      <c r="C331" s="87"/>
      <c r="D331" s="87"/>
      <c r="E331" s="82"/>
      <c r="F331" s="87"/>
      <c r="G331" s="82" t="str">
        <f t="shared" si="87"/>
        <v/>
      </c>
      <c r="H331" s="87">
        <f t="shared" si="88"/>
        <v>0</v>
      </c>
      <c r="I331" s="87"/>
      <c r="J331" s="87"/>
      <c r="K331" s="87"/>
      <c r="L331" s="46"/>
    </row>
    <row r="332" spans="1:12" x14ac:dyDescent="0.25">
      <c r="A332" s="2">
        <v>329</v>
      </c>
      <c r="B332" s="87"/>
      <c r="C332" s="87"/>
      <c r="D332" s="87"/>
      <c r="E332" s="82"/>
      <c r="F332" s="87"/>
      <c r="G332" s="82" t="str">
        <f t="shared" si="87"/>
        <v/>
      </c>
      <c r="H332" s="87">
        <f t="shared" si="88"/>
        <v>0</v>
      </c>
      <c r="I332" s="87"/>
      <c r="J332" s="87"/>
      <c r="K332" s="87"/>
      <c r="L332" s="46"/>
    </row>
    <row r="333" spans="1:12" x14ac:dyDescent="0.25">
      <c r="A333" s="2">
        <v>330</v>
      </c>
      <c r="B333" s="87"/>
      <c r="C333" s="87"/>
      <c r="D333" s="87"/>
      <c r="E333" s="82"/>
      <c r="F333" s="87"/>
      <c r="G333" s="82" t="str">
        <f t="shared" si="87"/>
        <v/>
      </c>
      <c r="H333" s="87">
        <f t="shared" si="88"/>
        <v>0</v>
      </c>
      <c r="I333" s="87"/>
      <c r="J333" s="87"/>
      <c r="K333" s="87"/>
      <c r="L333" s="46"/>
    </row>
    <row r="334" spans="1:12" x14ac:dyDescent="0.25">
      <c r="A334" s="2">
        <v>331</v>
      </c>
      <c r="B334" s="87"/>
      <c r="C334" s="87"/>
      <c r="D334" s="87"/>
      <c r="E334" s="82"/>
      <c r="F334" s="87"/>
      <c r="G334" s="82" t="str">
        <f t="shared" si="87"/>
        <v/>
      </c>
      <c r="H334" s="87">
        <f t="shared" si="88"/>
        <v>0</v>
      </c>
      <c r="I334" s="87"/>
      <c r="J334" s="87"/>
      <c r="K334" s="87"/>
      <c r="L334" s="46"/>
    </row>
    <row r="335" spans="1:12" x14ac:dyDescent="0.25">
      <c r="A335" s="2">
        <v>332</v>
      </c>
      <c r="B335" s="87"/>
      <c r="C335" s="87"/>
      <c r="D335" s="87"/>
      <c r="E335" s="82"/>
      <c r="F335" s="87"/>
      <c r="G335" s="82" t="str">
        <f t="shared" si="87"/>
        <v/>
      </c>
      <c r="H335" s="87">
        <f t="shared" si="88"/>
        <v>0</v>
      </c>
      <c r="I335" s="87"/>
      <c r="J335" s="87"/>
      <c r="K335" s="87"/>
      <c r="L335" s="46"/>
    </row>
    <row r="336" spans="1:12" x14ac:dyDescent="0.25">
      <c r="A336" s="2">
        <v>333</v>
      </c>
      <c r="B336" s="87"/>
      <c r="C336" s="87"/>
      <c r="D336" s="87"/>
      <c r="E336" s="82"/>
      <c r="F336" s="87"/>
      <c r="G336" s="82" t="str">
        <f t="shared" si="87"/>
        <v/>
      </c>
      <c r="H336" s="87">
        <f t="shared" si="88"/>
        <v>0</v>
      </c>
      <c r="I336" s="87"/>
      <c r="J336" s="87"/>
      <c r="K336" s="87"/>
      <c r="L336" s="46"/>
    </row>
    <row r="337" spans="1:12" x14ac:dyDescent="0.25">
      <c r="A337" s="2">
        <v>334</v>
      </c>
      <c r="B337" s="87"/>
      <c r="C337" s="87"/>
      <c r="D337" s="87"/>
      <c r="E337" s="82"/>
      <c r="F337" s="87"/>
      <c r="G337" s="82" t="str">
        <f t="shared" si="87"/>
        <v/>
      </c>
      <c r="H337" s="87">
        <f t="shared" si="88"/>
        <v>0</v>
      </c>
      <c r="I337" s="87"/>
      <c r="J337" s="87"/>
      <c r="K337" s="87"/>
      <c r="L337" s="46"/>
    </row>
    <row r="338" spans="1:12" x14ac:dyDescent="0.25">
      <c r="A338" s="2">
        <v>335</v>
      </c>
      <c r="B338" s="87"/>
      <c r="C338" s="87"/>
      <c r="D338" s="87"/>
      <c r="E338" s="82"/>
      <c r="F338" s="87"/>
      <c r="G338" s="82" t="str">
        <f t="shared" si="87"/>
        <v/>
      </c>
      <c r="H338" s="87">
        <f t="shared" si="88"/>
        <v>0</v>
      </c>
      <c r="I338" s="87"/>
      <c r="J338" s="87"/>
      <c r="K338" s="87"/>
      <c r="L338" s="46"/>
    </row>
    <row r="339" spans="1:12" x14ac:dyDescent="0.25">
      <c r="A339" s="2">
        <v>336</v>
      </c>
      <c r="B339" s="87"/>
      <c r="C339" s="87"/>
      <c r="D339" s="87"/>
      <c r="E339" s="82"/>
      <c r="F339" s="87"/>
      <c r="G339" s="82" t="str">
        <f t="shared" si="87"/>
        <v/>
      </c>
      <c r="H339" s="87">
        <f t="shared" si="88"/>
        <v>0</v>
      </c>
      <c r="I339" s="87"/>
      <c r="J339" s="87"/>
      <c r="K339" s="87"/>
      <c r="L339" s="46"/>
    </row>
    <row r="340" spans="1:12" x14ac:dyDescent="0.25">
      <c r="A340" s="2">
        <v>337</v>
      </c>
      <c r="B340" s="87"/>
      <c r="C340" s="87"/>
      <c r="D340" s="87"/>
      <c r="E340" s="82"/>
      <c r="F340" s="87"/>
      <c r="G340" s="82" t="str">
        <f t="shared" si="87"/>
        <v/>
      </c>
      <c r="H340" s="87">
        <f t="shared" si="88"/>
        <v>0</v>
      </c>
      <c r="I340" s="87"/>
      <c r="J340" s="87"/>
      <c r="K340" s="87"/>
      <c r="L340" s="46"/>
    </row>
    <row r="341" spans="1:12" x14ac:dyDescent="0.25">
      <c r="A341" s="2">
        <v>338</v>
      </c>
      <c r="B341" s="87"/>
      <c r="C341" s="87"/>
      <c r="D341" s="87"/>
      <c r="E341" s="82"/>
      <c r="F341" s="87"/>
      <c r="G341" s="82" t="str">
        <f t="shared" si="87"/>
        <v/>
      </c>
      <c r="H341" s="87">
        <f t="shared" si="88"/>
        <v>0</v>
      </c>
      <c r="I341" s="87"/>
      <c r="J341" s="87"/>
      <c r="K341" s="87"/>
      <c r="L341" s="46"/>
    </row>
    <row r="342" spans="1:12" x14ac:dyDescent="0.25">
      <c r="A342" s="2">
        <v>339</v>
      </c>
      <c r="B342" s="87"/>
      <c r="C342" s="87"/>
      <c r="D342" s="87"/>
      <c r="E342" s="82"/>
      <c r="F342" s="87"/>
      <c r="G342" s="82" t="str">
        <f t="shared" si="87"/>
        <v/>
      </c>
      <c r="H342" s="87">
        <f t="shared" si="88"/>
        <v>0</v>
      </c>
      <c r="I342" s="87"/>
      <c r="J342" s="87"/>
      <c r="K342" s="87"/>
      <c r="L342" s="46"/>
    </row>
    <row r="343" spans="1:12" x14ac:dyDescent="0.25">
      <c r="A343" s="2">
        <v>340</v>
      </c>
      <c r="B343" s="87"/>
      <c r="C343" s="87"/>
      <c r="D343" s="87"/>
      <c r="E343" s="82"/>
      <c r="F343" s="87"/>
      <c r="G343" s="82" t="str">
        <f t="shared" si="87"/>
        <v/>
      </c>
      <c r="H343" s="87">
        <f t="shared" si="88"/>
        <v>0</v>
      </c>
      <c r="I343" s="87"/>
      <c r="J343" s="87"/>
      <c r="K343" s="87"/>
      <c r="L343" s="46"/>
    </row>
    <row r="344" spans="1:12" x14ac:dyDescent="0.25">
      <c r="A344" s="2">
        <v>341</v>
      </c>
      <c r="B344" s="87"/>
      <c r="C344" s="87"/>
      <c r="D344" s="87"/>
      <c r="E344" s="82"/>
      <c r="F344" s="87"/>
      <c r="G344" s="82" t="str">
        <f t="shared" si="87"/>
        <v/>
      </c>
      <c r="H344" s="87">
        <f t="shared" si="88"/>
        <v>0</v>
      </c>
      <c r="I344" s="87"/>
      <c r="J344" s="87"/>
      <c r="K344" s="87"/>
      <c r="L344" s="46"/>
    </row>
    <row r="345" spans="1:12" x14ac:dyDescent="0.25">
      <c r="A345" s="2">
        <v>342</v>
      </c>
      <c r="B345" s="87"/>
      <c r="C345" s="87"/>
      <c r="D345" s="87"/>
      <c r="E345" s="82"/>
      <c r="F345" s="87"/>
      <c r="G345" s="82" t="str">
        <f t="shared" si="87"/>
        <v/>
      </c>
      <c r="H345" s="87">
        <f t="shared" si="88"/>
        <v>0</v>
      </c>
      <c r="I345" s="87"/>
      <c r="J345" s="87"/>
      <c r="K345" s="87"/>
      <c r="L345" s="46"/>
    </row>
    <row r="346" spans="1:12" x14ac:dyDescent="0.25">
      <c r="A346" s="2">
        <v>343</v>
      </c>
      <c r="B346" s="87"/>
      <c r="C346" s="87"/>
      <c r="D346" s="87"/>
      <c r="E346" s="82"/>
      <c r="F346" s="87"/>
      <c r="G346" s="82" t="str">
        <f t="shared" si="87"/>
        <v/>
      </c>
      <c r="H346" s="87">
        <f t="shared" si="88"/>
        <v>0</v>
      </c>
      <c r="I346" s="87"/>
      <c r="J346" s="87"/>
      <c r="K346" s="87"/>
      <c r="L346" s="46"/>
    </row>
    <row r="347" spans="1:12" x14ac:dyDescent="0.25">
      <c r="A347" s="2">
        <v>344</v>
      </c>
      <c r="B347" s="87"/>
      <c r="C347" s="87"/>
      <c r="D347" s="87"/>
      <c r="E347" s="82"/>
      <c r="F347" s="87"/>
      <c r="G347" s="82" t="str">
        <f t="shared" si="87"/>
        <v/>
      </c>
      <c r="H347" s="87">
        <f t="shared" si="88"/>
        <v>0</v>
      </c>
      <c r="I347" s="87"/>
      <c r="J347" s="87"/>
      <c r="K347" s="87"/>
      <c r="L347" s="46"/>
    </row>
    <row r="348" spans="1:12" x14ac:dyDescent="0.25">
      <c r="A348" s="2">
        <v>345</v>
      </c>
      <c r="B348" s="87"/>
      <c r="C348" s="87"/>
      <c r="D348" s="87"/>
      <c r="E348" s="82"/>
      <c r="F348" s="87"/>
      <c r="G348" s="82" t="str">
        <f t="shared" si="87"/>
        <v/>
      </c>
      <c r="H348" s="87">
        <f t="shared" si="88"/>
        <v>0</v>
      </c>
      <c r="I348" s="87"/>
      <c r="J348" s="87"/>
      <c r="K348" s="87"/>
      <c r="L348" s="46"/>
    </row>
    <row r="349" spans="1:12" x14ac:dyDescent="0.25">
      <c r="A349" s="2">
        <v>346</v>
      </c>
      <c r="B349" s="87"/>
      <c r="C349" s="87"/>
      <c r="D349" s="87"/>
      <c r="E349" s="82"/>
      <c r="F349" s="87"/>
      <c r="G349" s="82" t="str">
        <f t="shared" si="87"/>
        <v/>
      </c>
      <c r="H349" s="87">
        <f t="shared" si="88"/>
        <v>0</v>
      </c>
      <c r="I349" s="87"/>
      <c r="J349" s="87"/>
      <c r="K349" s="87"/>
      <c r="L349" s="46"/>
    </row>
    <row r="350" spans="1:12" x14ac:dyDescent="0.25">
      <c r="A350" s="2">
        <v>347</v>
      </c>
      <c r="B350" s="87"/>
      <c r="C350" s="87"/>
      <c r="D350" s="87"/>
      <c r="E350" s="82"/>
      <c r="F350" s="87"/>
      <c r="G350" s="82" t="str">
        <f t="shared" si="87"/>
        <v/>
      </c>
      <c r="H350" s="87">
        <f t="shared" si="88"/>
        <v>0</v>
      </c>
      <c r="I350" s="87"/>
      <c r="J350" s="87"/>
      <c r="K350" s="87"/>
      <c r="L350" s="46"/>
    </row>
    <row r="351" spans="1:12" x14ac:dyDescent="0.25">
      <c r="A351" s="2">
        <v>348</v>
      </c>
      <c r="B351" s="87"/>
      <c r="C351" s="87"/>
      <c r="D351" s="87"/>
      <c r="E351" s="82"/>
      <c r="F351" s="87"/>
      <c r="G351" s="82" t="str">
        <f t="shared" si="87"/>
        <v/>
      </c>
      <c r="H351" s="87">
        <f t="shared" si="88"/>
        <v>0</v>
      </c>
      <c r="I351" s="87"/>
      <c r="J351" s="87"/>
      <c r="K351" s="87"/>
      <c r="L351" s="46"/>
    </row>
    <row r="352" spans="1:12" x14ac:dyDescent="0.25">
      <c r="A352" s="2">
        <v>349</v>
      </c>
      <c r="B352" s="87"/>
      <c r="C352" s="87"/>
      <c r="D352" s="87"/>
      <c r="E352" s="82"/>
      <c r="F352" s="87"/>
      <c r="G352" s="82" t="str">
        <f t="shared" si="87"/>
        <v/>
      </c>
      <c r="H352" s="87">
        <f t="shared" si="88"/>
        <v>0</v>
      </c>
      <c r="I352" s="87"/>
      <c r="J352" s="87"/>
      <c r="K352" s="87"/>
      <c r="L352" s="46"/>
    </row>
    <row r="353" spans="1:12" x14ac:dyDescent="0.25">
      <c r="A353" s="2">
        <v>350</v>
      </c>
      <c r="B353" s="87"/>
      <c r="C353" s="87"/>
      <c r="D353" s="87"/>
      <c r="E353" s="82"/>
      <c r="F353" s="87"/>
      <c r="G353" s="82" t="str">
        <f t="shared" si="87"/>
        <v/>
      </c>
      <c r="H353" s="87">
        <f t="shared" si="88"/>
        <v>0</v>
      </c>
      <c r="I353" s="87"/>
      <c r="J353" s="87"/>
      <c r="K353" s="87"/>
      <c r="L353" s="46"/>
    </row>
    <row r="354" spans="1:12" x14ac:dyDescent="0.25">
      <c r="A354" s="2">
        <v>351</v>
      </c>
      <c r="B354" s="87"/>
      <c r="C354" s="87"/>
      <c r="D354" s="87"/>
      <c r="E354" s="82"/>
      <c r="F354" s="87"/>
      <c r="G354" s="82" t="str">
        <f t="shared" si="87"/>
        <v/>
      </c>
      <c r="H354" s="87">
        <f t="shared" si="88"/>
        <v>0</v>
      </c>
      <c r="I354" s="87"/>
      <c r="J354" s="87"/>
      <c r="K354" s="87"/>
      <c r="L354" s="46"/>
    </row>
    <row r="355" spans="1:12" x14ac:dyDescent="0.25">
      <c r="A355" s="2">
        <v>352</v>
      </c>
      <c r="B355" s="87"/>
      <c r="C355" s="87"/>
      <c r="D355" s="87"/>
      <c r="E355" s="82"/>
      <c r="F355" s="87"/>
      <c r="G355" s="82" t="str">
        <f t="shared" si="87"/>
        <v/>
      </c>
      <c r="H355" s="87">
        <f t="shared" si="88"/>
        <v>0</v>
      </c>
      <c r="I355" s="87"/>
      <c r="J355" s="87"/>
      <c r="K355" s="87"/>
      <c r="L355" s="46"/>
    </row>
    <row r="356" spans="1:12" x14ac:dyDescent="0.25">
      <c r="A356" s="2">
        <v>353</v>
      </c>
      <c r="B356" s="87"/>
      <c r="C356" s="87"/>
      <c r="D356" s="87"/>
      <c r="E356" s="82"/>
      <c r="F356" s="87"/>
      <c r="G356" s="82" t="str">
        <f t="shared" si="87"/>
        <v/>
      </c>
      <c r="H356" s="87">
        <f t="shared" si="88"/>
        <v>0</v>
      </c>
      <c r="I356" s="87"/>
      <c r="J356" s="87"/>
      <c r="K356" s="87"/>
      <c r="L356" s="46"/>
    </row>
    <row r="357" spans="1:12" x14ac:dyDescent="0.25">
      <c r="A357" s="2">
        <v>354</v>
      </c>
      <c r="B357" s="87"/>
      <c r="C357" s="87"/>
      <c r="D357" s="87"/>
      <c r="E357" s="82"/>
      <c r="F357" s="87"/>
      <c r="G357" s="82" t="str">
        <f t="shared" si="87"/>
        <v/>
      </c>
      <c r="H357" s="87">
        <f t="shared" si="88"/>
        <v>0</v>
      </c>
      <c r="I357" s="87"/>
      <c r="J357" s="87"/>
      <c r="K357" s="87"/>
      <c r="L357" s="46"/>
    </row>
    <row r="358" spans="1:12" x14ac:dyDescent="0.25">
      <c r="A358" s="2">
        <v>355</v>
      </c>
      <c r="B358" s="87"/>
      <c r="C358" s="87"/>
      <c r="D358" s="87"/>
      <c r="E358" s="82"/>
      <c r="F358" s="87"/>
      <c r="G358" s="82" t="str">
        <f t="shared" si="87"/>
        <v/>
      </c>
      <c r="H358" s="87">
        <f t="shared" si="88"/>
        <v>0</v>
      </c>
      <c r="I358" s="87"/>
      <c r="J358" s="87"/>
      <c r="K358" s="87"/>
      <c r="L358" s="46"/>
    </row>
    <row r="359" spans="1:12" x14ac:dyDescent="0.25">
      <c r="A359" s="2">
        <v>356</v>
      </c>
      <c r="B359" s="87"/>
      <c r="C359" s="87"/>
      <c r="D359" s="87"/>
      <c r="E359" s="82"/>
      <c r="F359" s="87"/>
      <c r="G359" s="82" t="str">
        <f t="shared" si="87"/>
        <v/>
      </c>
      <c r="H359" s="87">
        <f t="shared" si="88"/>
        <v>0</v>
      </c>
      <c r="I359" s="87"/>
      <c r="J359" s="87"/>
      <c r="K359" s="87"/>
      <c r="L359" s="46"/>
    </row>
    <row r="360" spans="1:12" x14ac:dyDescent="0.25">
      <c r="A360" s="2">
        <v>357</v>
      </c>
      <c r="B360" s="87"/>
      <c r="C360" s="87"/>
      <c r="D360" s="87"/>
      <c r="E360" s="82"/>
      <c r="F360" s="87"/>
      <c r="G360" s="82" t="str">
        <f t="shared" si="87"/>
        <v/>
      </c>
      <c r="H360" s="87">
        <f t="shared" si="88"/>
        <v>0</v>
      </c>
      <c r="I360" s="87"/>
      <c r="J360" s="87"/>
      <c r="K360" s="87"/>
      <c r="L360" s="46"/>
    </row>
    <row r="361" spans="1:12" x14ac:dyDescent="0.25">
      <c r="A361" s="2">
        <v>358</v>
      </c>
      <c r="B361" s="87"/>
      <c r="C361" s="87"/>
      <c r="D361" s="87"/>
      <c r="E361" s="82"/>
      <c r="F361" s="87"/>
      <c r="G361" s="82" t="str">
        <f t="shared" ref="G361:G402" si="89">CONCATENATE(B361,C361,D361,E361,F361)</f>
        <v/>
      </c>
      <c r="H361" s="87">
        <f t="shared" si="88"/>
        <v>0</v>
      </c>
      <c r="I361" s="87"/>
      <c r="J361" s="87"/>
      <c r="K361" s="87"/>
      <c r="L361" s="46"/>
    </row>
    <row r="362" spans="1:12" x14ac:dyDescent="0.25">
      <c r="A362" s="2">
        <v>359</v>
      </c>
      <c r="B362" s="87"/>
      <c r="C362" s="87"/>
      <c r="D362" s="87"/>
      <c r="E362" s="82"/>
      <c r="F362" s="87"/>
      <c r="G362" s="82" t="str">
        <f t="shared" si="89"/>
        <v/>
      </c>
      <c r="H362" s="87">
        <f t="shared" si="88"/>
        <v>0</v>
      </c>
      <c r="I362" s="87"/>
      <c r="J362" s="87"/>
      <c r="K362" s="87"/>
      <c r="L362" s="46"/>
    </row>
    <row r="363" spans="1:12" x14ac:dyDescent="0.25">
      <c r="A363" s="2">
        <v>360</v>
      </c>
      <c r="B363" s="87"/>
      <c r="C363" s="87"/>
      <c r="D363" s="87"/>
      <c r="E363" s="82"/>
      <c r="F363" s="87"/>
      <c r="G363" s="82" t="str">
        <f t="shared" si="89"/>
        <v/>
      </c>
      <c r="H363" s="87">
        <f t="shared" si="88"/>
        <v>0</v>
      </c>
      <c r="I363" s="87"/>
      <c r="J363" s="87"/>
      <c r="K363" s="87"/>
      <c r="L363" s="46"/>
    </row>
    <row r="364" spans="1:12" x14ac:dyDescent="0.25">
      <c r="A364" s="2">
        <v>361</v>
      </c>
      <c r="B364" s="87"/>
      <c r="C364" s="87"/>
      <c r="D364" s="87"/>
      <c r="E364" s="82"/>
      <c r="F364" s="87"/>
      <c r="G364" s="82" t="str">
        <f t="shared" si="89"/>
        <v/>
      </c>
      <c r="H364" s="87">
        <f t="shared" si="88"/>
        <v>0</v>
      </c>
      <c r="I364" s="87"/>
      <c r="J364" s="87"/>
      <c r="K364" s="87"/>
      <c r="L364" s="46"/>
    </row>
    <row r="365" spans="1:12" x14ac:dyDescent="0.25">
      <c r="A365" s="2">
        <v>362</v>
      </c>
      <c r="B365" s="87"/>
      <c r="C365" s="87"/>
      <c r="D365" s="87"/>
      <c r="E365" s="82"/>
      <c r="F365" s="87"/>
      <c r="G365" s="82" t="str">
        <f t="shared" si="89"/>
        <v/>
      </c>
      <c r="H365" s="87">
        <f t="shared" si="88"/>
        <v>0</v>
      </c>
      <c r="I365" s="87"/>
      <c r="J365" s="87"/>
      <c r="K365" s="87"/>
      <c r="L365" s="46"/>
    </row>
    <row r="366" spans="1:12" x14ac:dyDescent="0.25">
      <c r="A366" s="2">
        <v>363</v>
      </c>
      <c r="B366" s="87"/>
      <c r="C366" s="87"/>
      <c r="D366" s="87"/>
      <c r="E366" s="82"/>
      <c r="F366" s="87"/>
      <c r="G366" s="82" t="str">
        <f t="shared" si="89"/>
        <v/>
      </c>
      <c r="H366" s="87">
        <f t="shared" si="88"/>
        <v>0</v>
      </c>
      <c r="I366" s="87"/>
      <c r="J366" s="87"/>
      <c r="K366" s="87"/>
      <c r="L366" s="46"/>
    </row>
    <row r="367" spans="1:12" x14ac:dyDescent="0.25">
      <c r="A367" s="2">
        <v>364</v>
      </c>
      <c r="B367" s="87"/>
      <c r="C367" s="87"/>
      <c r="D367" s="87"/>
      <c r="E367" s="82"/>
      <c r="F367" s="87"/>
      <c r="G367" s="82" t="str">
        <f t="shared" si="89"/>
        <v/>
      </c>
      <c r="H367" s="87">
        <f t="shared" si="88"/>
        <v>0</v>
      </c>
      <c r="I367" s="87"/>
      <c r="J367" s="87"/>
      <c r="K367" s="87"/>
      <c r="L367" s="46"/>
    </row>
    <row r="368" spans="1:12" x14ac:dyDescent="0.25">
      <c r="A368" s="2">
        <v>365</v>
      </c>
      <c r="B368" s="87"/>
      <c r="C368" s="87"/>
      <c r="D368" s="87"/>
      <c r="E368" s="82"/>
      <c r="F368" s="87"/>
      <c r="G368" s="82" t="str">
        <f t="shared" si="89"/>
        <v/>
      </c>
      <c r="H368" s="87">
        <f t="shared" si="88"/>
        <v>0</v>
      </c>
      <c r="I368" s="87"/>
      <c r="J368" s="87"/>
      <c r="K368" s="87"/>
      <c r="L368" s="46"/>
    </row>
    <row r="369" spans="1:12" x14ac:dyDescent="0.25">
      <c r="A369" s="2">
        <v>366</v>
      </c>
      <c r="B369" s="87"/>
      <c r="C369" s="87"/>
      <c r="D369" s="87"/>
      <c r="E369" s="82"/>
      <c r="F369" s="87"/>
      <c r="G369" s="82" t="str">
        <f t="shared" si="89"/>
        <v/>
      </c>
      <c r="H369" s="87">
        <f t="shared" si="88"/>
        <v>0</v>
      </c>
      <c r="I369" s="87"/>
      <c r="J369" s="87"/>
      <c r="K369" s="87"/>
      <c r="L369" s="46"/>
    </row>
    <row r="370" spans="1:12" x14ac:dyDescent="0.25">
      <c r="A370" s="2">
        <v>367</v>
      </c>
      <c r="B370" s="87"/>
      <c r="C370" s="87"/>
      <c r="D370" s="87"/>
      <c r="E370" s="82"/>
      <c r="F370" s="87"/>
      <c r="G370" s="82" t="str">
        <f t="shared" si="89"/>
        <v/>
      </c>
      <c r="H370" s="87">
        <f t="shared" si="88"/>
        <v>0</v>
      </c>
      <c r="I370" s="87"/>
      <c r="J370" s="87"/>
      <c r="K370" s="87"/>
      <c r="L370" s="46"/>
    </row>
    <row r="371" spans="1:12" x14ac:dyDescent="0.25">
      <c r="A371" s="2">
        <v>368</v>
      </c>
      <c r="B371" s="87"/>
      <c r="C371" s="87"/>
      <c r="D371" s="87"/>
      <c r="E371" s="82"/>
      <c r="F371" s="87"/>
      <c r="G371" s="82" t="str">
        <f t="shared" si="89"/>
        <v/>
      </c>
      <c r="H371" s="87">
        <f t="shared" si="88"/>
        <v>0</v>
      </c>
      <c r="I371" s="87"/>
      <c r="J371" s="87"/>
      <c r="K371" s="87"/>
      <c r="L371" s="46"/>
    </row>
    <row r="372" spans="1:12" x14ac:dyDescent="0.25">
      <c r="A372" s="2">
        <v>369</v>
      </c>
      <c r="B372" s="87"/>
      <c r="C372" s="87"/>
      <c r="D372" s="87"/>
      <c r="E372" s="82"/>
      <c r="F372" s="87"/>
      <c r="G372" s="82" t="str">
        <f t="shared" si="89"/>
        <v/>
      </c>
      <c r="H372" s="87">
        <f t="shared" si="88"/>
        <v>0</v>
      </c>
      <c r="I372" s="87"/>
      <c r="J372" s="87"/>
      <c r="K372" s="87"/>
      <c r="L372" s="46"/>
    </row>
    <row r="373" spans="1:12" x14ac:dyDescent="0.25">
      <c r="A373" s="2">
        <v>370</v>
      </c>
      <c r="B373" s="87"/>
      <c r="C373" s="87"/>
      <c r="D373" s="87"/>
      <c r="E373" s="82"/>
      <c r="F373" s="87"/>
      <c r="G373" s="82" t="str">
        <f t="shared" si="89"/>
        <v/>
      </c>
      <c r="H373" s="87">
        <f t="shared" si="88"/>
        <v>0</v>
      </c>
      <c r="I373" s="87"/>
      <c r="J373" s="87"/>
      <c r="K373" s="87"/>
      <c r="L373" s="46"/>
    </row>
    <row r="374" spans="1:12" x14ac:dyDescent="0.25">
      <c r="A374" s="2">
        <v>371</v>
      </c>
      <c r="B374" s="87"/>
      <c r="C374" s="87"/>
      <c r="D374" s="87"/>
      <c r="E374" s="82"/>
      <c r="F374" s="87"/>
      <c r="G374" s="82" t="str">
        <f t="shared" si="89"/>
        <v/>
      </c>
      <c r="H374" s="87">
        <f t="shared" si="88"/>
        <v>0</v>
      </c>
      <c r="I374" s="87"/>
      <c r="J374" s="87"/>
      <c r="K374" s="87"/>
      <c r="L374" s="46"/>
    </row>
    <row r="375" spans="1:12" x14ac:dyDescent="0.25">
      <c r="A375" s="2">
        <v>372</v>
      </c>
      <c r="B375" s="87"/>
      <c r="C375" s="87"/>
      <c r="D375" s="87"/>
      <c r="E375" s="82"/>
      <c r="F375" s="87"/>
      <c r="G375" s="82" t="str">
        <f t="shared" si="89"/>
        <v/>
      </c>
      <c r="H375" s="87">
        <f t="shared" si="88"/>
        <v>0</v>
      </c>
      <c r="I375" s="87"/>
      <c r="J375" s="87"/>
      <c r="K375" s="87"/>
      <c r="L375" s="46"/>
    </row>
    <row r="376" spans="1:12" x14ac:dyDescent="0.25">
      <c r="A376" s="2">
        <v>373</v>
      </c>
      <c r="B376" s="87"/>
      <c r="C376" s="87"/>
      <c r="D376" s="87"/>
      <c r="E376" s="82"/>
      <c r="F376" s="87"/>
      <c r="G376" s="82" t="str">
        <f t="shared" si="89"/>
        <v/>
      </c>
      <c r="H376" s="87">
        <f t="shared" si="88"/>
        <v>0</v>
      </c>
      <c r="I376" s="87"/>
      <c r="J376" s="87"/>
      <c r="K376" s="87"/>
      <c r="L376" s="46"/>
    </row>
    <row r="377" spans="1:12" x14ac:dyDescent="0.25">
      <c r="A377" s="2">
        <v>374</v>
      </c>
      <c r="B377" s="87"/>
      <c r="C377" s="87"/>
      <c r="D377" s="87"/>
      <c r="E377" s="82"/>
      <c r="F377" s="87"/>
      <c r="G377" s="82" t="str">
        <f t="shared" si="89"/>
        <v/>
      </c>
      <c r="H377" s="87">
        <f t="shared" si="88"/>
        <v>0</v>
      </c>
      <c r="I377" s="87"/>
      <c r="J377" s="87"/>
      <c r="K377" s="87"/>
      <c r="L377" s="46"/>
    </row>
    <row r="378" spans="1:12" x14ac:dyDescent="0.25">
      <c r="A378" s="2">
        <v>375</v>
      </c>
      <c r="B378" s="87"/>
      <c r="C378" s="87"/>
      <c r="D378" s="87"/>
      <c r="E378" s="82"/>
      <c r="F378" s="87"/>
      <c r="G378" s="82" t="str">
        <f t="shared" si="89"/>
        <v/>
      </c>
      <c r="H378" s="87">
        <f t="shared" si="88"/>
        <v>0</v>
      </c>
      <c r="I378" s="87"/>
      <c r="J378" s="87"/>
      <c r="K378" s="87"/>
      <c r="L378" s="46"/>
    </row>
    <row r="379" spans="1:12" x14ac:dyDescent="0.25">
      <c r="A379" s="2">
        <v>376</v>
      </c>
      <c r="B379" s="87"/>
      <c r="C379" s="87"/>
      <c r="D379" s="87"/>
      <c r="E379" s="82"/>
      <c r="F379" s="87"/>
      <c r="G379" s="82" t="str">
        <f t="shared" si="89"/>
        <v/>
      </c>
      <c r="H379" s="87">
        <f t="shared" si="88"/>
        <v>0</v>
      </c>
      <c r="I379" s="87"/>
      <c r="J379" s="87"/>
      <c r="K379" s="87"/>
      <c r="L379" s="46"/>
    </row>
    <row r="380" spans="1:12" x14ac:dyDescent="0.25">
      <c r="A380" s="2">
        <v>377</v>
      </c>
      <c r="B380" s="87"/>
      <c r="C380" s="87"/>
      <c r="D380" s="87"/>
      <c r="E380" s="82"/>
      <c r="F380" s="87"/>
      <c r="G380" s="82" t="str">
        <f t="shared" si="89"/>
        <v/>
      </c>
      <c r="H380" s="87">
        <f t="shared" si="88"/>
        <v>0</v>
      </c>
      <c r="I380" s="87"/>
      <c r="J380" s="87"/>
      <c r="K380" s="87"/>
      <c r="L380" s="46"/>
    </row>
    <row r="381" spans="1:12" x14ac:dyDescent="0.25">
      <c r="A381" s="2">
        <v>378</v>
      </c>
      <c r="B381" s="87"/>
      <c r="C381" s="87"/>
      <c r="D381" s="87"/>
      <c r="E381" s="82"/>
      <c r="F381" s="87"/>
      <c r="G381" s="82" t="str">
        <f t="shared" si="89"/>
        <v/>
      </c>
      <c r="H381" s="87">
        <f t="shared" si="88"/>
        <v>0</v>
      </c>
      <c r="I381" s="87"/>
      <c r="J381" s="87"/>
      <c r="K381" s="87"/>
      <c r="L381" s="46"/>
    </row>
    <row r="382" spans="1:12" x14ac:dyDescent="0.25">
      <c r="A382" s="2">
        <v>379</v>
      </c>
      <c r="B382" s="87"/>
      <c r="C382" s="87"/>
      <c r="D382" s="87"/>
      <c r="E382" s="82"/>
      <c r="F382" s="87"/>
      <c r="G382" s="82" t="str">
        <f t="shared" si="89"/>
        <v/>
      </c>
      <c r="H382" s="87">
        <f t="shared" si="88"/>
        <v>0</v>
      </c>
      <c r="I382" s="87"/>
      <c r="J382" s="87"/>
      <c r="K382" s="87"/>
      <c r="L382" s="46"/>
    </row>
    <row r="383" spans="1:12" x14ac:dyDescent="0.25">
      <c r="A383" s="2">
        <v>380</v>
      </c>
      <c r="B383" s="87"/>
      <c r="C383" s="87"/>
      <c r="D383" s="87"/>
      <c r="E383" s="82"/>
      <c r="F383" s="87"/>
      <c r="G383" s="82" t="str">
        <f t="shared" si="89"/>
        <v/>
      </c>
      <c r="H383" s="87">
        <f t="shared" si="88"/>
        <v>0</v>
      </c>
      <c r="I383" s="87"/>
      <c r="J383" s="87"/>
      <c r="K383" s="87"/>
      <c r="L383" s="46"/>
    </row>
    <row r="384" spans="1:12" x14ac:dyDescent="0.25">
      <c r="A384" s="2">
        <v>381</v>
      </c>
      <c r="B384" s="87"/>
      <c r="C384" s="87"/>
      <c r="D384" s="87"/>
      <c r="E384" s="82"/>
      <c r="F384" s="87"/>
      <c r="G384" s="82" t="str">
        <f t="shared" si="89"/>
        <v/>
      </c>
      <c r="H384" s="87">
        <f t="shared" si="88"/>
        <v>0</v>
      </c>
      <c r="I384" s="87"/>
      <c r="J384" s="87"/>
      <c r="K384" s="87"/>
      <c r="L384" s="46"/>
    </row>
    <row r="385" spans="1:12" x14ac:dyDescent="0.25">
      <c r="A385" s="2">
        <v>382</v>
      </c>
      <c r="B385" s="87"/>
      <c r="C385" s="87"/>
      <c r="D385" s="87"/>
      <c r="E385" s="82"/>
      <c r="F385" s="87"/>
      <c r="G385" s="82" t="str">
        <f t="shared" si="89"/>
        <v/>
      </c>
      <c r="H385" s="87">
        <f t="shared" si="88"/>
        <v>0</v>
      </c>
      <c r="I385" s="87"/>
      <c r="J385" s="87"/>
      <c r="K385" s="87"/>
      <c r="L385" s="46"/>
    </row>
    <row r="386" spans="1:12" x14ac:dyDescent="0.25">
      <c r="A386" s="2">
        <v>383</v>
      </c>
      <c r="B386" s="87"/>
      <c r="C386" s="87"/>
      <c r="D386" s="87"/>
      <c r="E386" s="82"/>
      <c r="F386" s="87"/>
      <c r="G386" s="82" t="str">
        <f t="shared" si="89"/>
        <v/>
      </c>
      <c r="H386" s="87">
        <f t="shared" si="88"/>
        <v>0</v>
      </c>
      <c r="I386" s="87"/>
      <c r="J386" s="87"/>
      <c r="K386" s="87"/>
    </row>
    <row r="387" spans="1:12" x14ac:dyDescent="0.25">
      <c r="A387" s="2">
        <v>384</v>
      </c>
      <c r="B387" s="87"/>
      <c r="C387" s="87"/>
      <c r="D387" s="87"/>
      <c r="E387" s="82"/>
      <c r="F387" s="87"/>
      <c r="G387" s="82" t="str">
        <f t="shared" si="89"/>
        <v/>
      </c>
      <c r="H387" s="87">
        <f t="shared" si="88"/>
        <v>0</v>
      </c>
      <c r="I387" s="87"/>
      <c r="J387" s="87"/>
      <c r="K387" s="87"/>
    </row>
    <row r="388" spans="1:12" x14ac:dyDescent="0.25">
      <c r="A388" s="2">
        <v>385</v>
      </c>
      <c r="B388" s="87"/>
      <c r="C388" s="87"/>
      <c r="D388" s="87"/>
      <c r="E388" s="82"/>
      <c r="F388" s="87"/>
      <c r="G388" s="82" t="str">
        <f t="shared" si="89"/>
        <v/>
      </c>
      <c r="H388" s="87">
        <f t="shared" si="88"/>
        <v>0</v>
      </c>
      <c r="I388" s="87"/>
      <c r="J388" s="87"/>
      <c r="K388" s="87"/>
    </row>
    <row r="389" spans="1:12" x14ac:dyDescent="0.25">
      <c r="A389" s="2">
        <v>386</v>
      </c>
      <c r="B389" s="87"/>
      <c r="C389" s="87"/>
      <c r="D389" s="87"/>
      <c r="E389" s="82"/>
      <c r="F389" s="87"/>
      <c r="G389" s="82" t="str">
        <f t="shared" si="89"/>
        <v/>
      </c>
      <c r="H389" s="87">
        <f t="shared" si="88"/>
        <v>0</v>
      </c>
      <c r="I389" s="87"/>
      <c r="J389" s="87"/>
      <c r="K389" s="87"/>
      <c r="L389" s="46"/>
    </row>
    <row r="390" spans="1:12" x14ac:dyDescent="0.25">
      <c r="A390" s="2">
        <v>387</v>
      </c>
      <c r="B390" s="87"/>
      <c r="C390" s="87"/>
      <c r="D390" s="87"/>
      <c r="E390" s="82"/>
      <c r="F390" s="87"/>
      <c r="G390" s="82" t="str">
        <f t="shared" si="89"/>
        <v/>
      </c>
      <c r="H390" s="87">
        <f t="shared" si="88"/>
        <v>0</v>
      </c>
      <c r="I390" s="87"/>
      <c r="J390" s="87"/>
      <c r="K390" s="87"/>
      <c r="L390" s="46"/>
    </row>
    <row r="391" spans="1:12" x14ac:dyDescent="0.25">
      <c r="A391" s="2">
        <v>388</v>
      </c>
      <c r="B391" s="87"/>
      <c r="C391" s="87"/>
      <c r="D391" s="87"/>
      <c r="E391" s="82"/>
      <c r="F391" s="87"/>
      <c r="G391" s="82" t="str">
        <f t="shared" si="89"/>
        <v/>
      </c>
      <c r="H391" s="87">
        <f t="shared" si="88"/>
        <v>0</v>
      </c>
      <c r="I391" s="87"/>
      <c r="J391" s="87"/>
      <c r="K391" s="87"/>
      <c r="L391" s="46"/>
    </row>
    <row r="392" spans="1:12" x14ac:dyDescent="0.25">
      <c r="A392" s="2">
        <v>389</v>
      </c>
      <c r="B392" s="87"/>
      <c r="C392" s="87"/>
      <c r="D392" s="87"/>
      <c r="E392" s="82"/>
      <c r="F392" s="87"/>
      <c r="G392" s="82" t="str">
        <f t="shared" si="89"/>
        <v/>
      </c>
      <c r="H392" s="87">
        <f t="shared" ref="H392:H414" si="90">I392/8</f>
        <v>0</v>
      </c>
      <c r="I392" s="87"/>
      <c r="J392" s="87"/>
      <c r="K392" s="87"/>
      <c r="L392" s="46"/>
    </row>
    <row r="393" spans="1:12" x14ac:dyDescent="0.25">
      <c r="A393" s="2">
        <v>390</v>
      </c>
      <c r="B393" s="87"/>
      <c r="C393" s="87"/>
      <c r="D393" s="87"/>
      <c r="E393" s="82"/>
      <c r="F393" s="87"/>
      <c r="G393" s="82" t="str">
        <f t="shared" si="89"/>
        <v/>
      </c>
      <c r="H393" s="87">
        <f t="shared" si="90"/>
        <v>0</v>
      </c>
      <c r="I393" s="87"/>
      <c r="J393" s="87"/>
      <c r="K393" s="87"/>
      <c r="L393" s="46"/>
    </row>
    <row r="394" spans="1:12" x14ac:dyDescent="0.25">
      <c r="A394" s="2">
        <v>391</v>
      </c>
      <c r="B394" s="87"/>
      <c r="C394" s="87"/>
      <c r="D394" s="87"/>
      <c r="E394" s="82"/>
      <c r="F394" s="87"/>
      <c r="G394" s="82" t="str">
        <f t="shared" si="89"/>
        <v/>
      </c>
      <c r="H394" s="87">
        <f t="shared" si="90"/>
        <v>0</v>
      </c>
      <c r="I394" s="87"/>
      <c r="J394" s="87"/>
      <c r="K394" s="87"/>
      <c r="L394" s="46"/>
    </row>
    <row r="395" spans="1:12" x14ac:dyDescent="0.25">
      <c r="A395" s="2">
        <v>392</v>
      </c>
      <c r="B395" s="87"/>
      <c r="C395" s="87"/>
      <c r="D395" s="87"/>
      <c r="E395" s="82"/>
      <c r="F395" s="87"/>
      <c r="G395" s="82" t="str">
        <f t="shared" si="89"/>
        <v/>
      </c>
      <c r="H395" s="87">
        <f t="shared" si="90"/>
        <v>0</v>
      </c>
      <c r="I395" s="87"/>
      <c r="J395" s="87"/>
      <c r="K395" s="87"/>
      <c r="L395" s="46"/>
    </row>
    <row r="396" spans="1:12" x14ac:dyDescent="0.25">
      <c r="A396" s="2">
        <v>393</v>
      </c>
      <c r="B396" s="87"/>
      <c r="C396" s="87"/>
      <c r="D396" s="87"/>
      <c r="E396" s="82"/>
      <c r="F396" s="87"/>
      <c r="G396" s="82" t="str">
        <f t="shared" si="89"/>
        <v/>
      </c>
      <c r="H396" s="87">
        <f t="shared" si="90"/>
        <v>0</v>
      </c>
      <c r="I396" s="87"/>
      <c r="J396" s="87"/>
      <c r="K396" s="87"/>
      <c r="L396" s="46"/>
    </row>
    <row r="397" spans="1:12" x14ac:dyDescent="0.25">
      <c r="A397" s="2">
        <v>394</v>
      </c>
      <c r="B397" s="87"/>
      <c r="C397" s="87"/>
      <c r="D397" s="87"/>
      <c r="E397" s="82"/>
      <c r="F397" s="87"/>
      <c r="G397" s="82" t="str">
        <f t="shared" si="89"/>
        <v/>
      </c>
      <c r="H397" s="87">
        <f t="shared" si="90"/>
        <v>0</v>
      </c>
      <c r="I397" s="87"/>
      <c r="J397" s="87"/>
      <c r="K397" s="87"/>
      <c r="L397" s="46"/>
    </row>
    <row r="398" spans="1:12" x14ac:dyDescent="0.25">
      <c r="A398" s="2">
        <v>395</v>
      </c>
      <c r="B398" s="87"/>
      <c r="C398" s="87"/>
      <c r="D398" s="87"/>
      <c r="E398" s="82"/>
      <c r="F398" s="87"/>
      <c r="G398" s="82" t="str">
        <f t="shared" si="89"/>
        <v/>
      </c>
      <c r="H398" s="87">
        <f t="shared" si="90"/>
        <v>0</v>
      </c>
      <c r="I398" s="87"/>
      <c r="J398" s="87"/>
      <c r="K398" s="87"/>
    </row>
    <row r="399" spans="1:12" x14ac:dyDescent="0.25">
      <c r="A399" s="2">
        <v>396</v>
      </c>
      <c r="B399" s="87"/>
      <c r="C399" s="87"/>
      <c r="D399" s="87"/>
      <c r="E399" s="82"/>
      <c r="F399" s="87"/>
      <c r="G399" s="82" t="str">
        <f t="shared" si="89"/>
        <v/>
      </c>
      <c r="H399" s="87">
        <f t="shared" si="90"/>
        <v>0</v>
      </c>
      <c r="I399" s="87"/>
      <c r="J399" s="87"/>
      <c r="K399" s="87"/>
    </row>
    <row r="400" spans="1:12" x14ac:dyDescent="0.25">
      <c r="A400" s="2">
        <v>397</v>
      </c>
      <c r="B400" s="87"/>
      <c r="C400" s="87"/>
      <c r="D400" s="87"/>
      <c r="E400" s="82"/>
      <c r="F400" s="87"/>
      <c r="G400" s="82" t="str">
        <f t="shared" si="89"/>
        <v/>
      </c>
      <c r="H400" s="87">
        <f t="shared" si="90"/>
        <v>0</v>
      </c>
      <c r="I400" s="87"/>
      <c r="J400" s="87"/>
      <c r="K400" s="87"/>
    </row>
    <row r="401" spans="1:11" x14ac:dyDescent="0.25">
      <c r="A401" s="2">
        <v>398</v>
      </c>
      <c r="B401" s="87"/>
      <c r="C401" s="87"/>
      <c r="D401" s="87"/>
      <c r="E401" s="82"/>
      <c r="F401" s="87"/>
      <c r="G401" s="82" t="str">
        <f t="shared" si="89"/>
        <v/>
      </c>
      <c r="H401" s="87">
        <f t="shared" si="90"/>
        <v>0</v>
      </c>
      <c r="I401" s="87"/>
      <c r="J401" s="87"/>
      <c r="K401" s="87"/>
    </row>
    <row r="402" spans="1:11" x14ac:dyDescent="0.25">
      <c r="A402" s="2">
        <v>399</v>
      </c>
      <c r="B402" s="87"/>
      <c r="C402" s="87"/>
      <c r="D402" s="87"/>
      <c r="E402" s="82"/>
      <c r="F402" s="87"/>
      <c r="G402" s="82" t="str">
        <f t="shared" si="89"/>
        <v/>
      </c>
      <c r="H402" s="87">
        <f t="shared" si="90"/>
        <v>0</v>
      </c>
      <c r="I402" s="87"/>
      <c r="J402" s="87"/>
      <c r="K402" s="87"/>
    </row>
    <row r="403" spans="1:11" x14ac:dyDescent="0.25">
      <c r="A403" s="2">
        <v>400</v>
      </c>
      <c r="B403" s="87"/>
      <c r="C403" s="87"/>
      <c r="D403" s="87"/>
      <c r="E403" s="82"/>
      <c r="F403" s="87"/>
      <c r="G403" s="82"/>
      <c r="H403" s="87">
        <f t="shared" si="90"/>
        <v>0</v>
      </c>
      <c r="I403" s="87"/>
      <c r="J403" s="87"/>
      <c r="K403" s="87"/>
    </row>
    <row r="404" spans="1:11" x14ac:dyDescent="0.25">
      <c r="A404" s="2">
        <v>401</v>
      </c>
      <c r="B404" s="87"/>
      <c r="C404" s="87"/>
      <c r="D404" s="87"/>
      <c r="E404" s="82"/>
      <c r="F404" s="87"/>
      <c r="G404" s="82"/>
      <c r="H404" s="87">
        <f t="shared" si="90"/>
        <v>0</v>
      </c>
      <c r="I404" s="87"/>
      <c r="J404" s="87"/>
      <c r="K404" s="87"/>
    </row>
    <row r="405" spans="1:11" x14ac:dyDescent="0.25">
      <c r="A405" s="2">
        <v>402</v>
      </c>
      <c r="B405" s="87"/>
      <c r="C405" s="87"/>
      <c r="D405" s="87"/>
      <c r="E405" s="82"/>
      <c r="F405" s="87"/>
      <c r="G405" s="82"/>
      <c r="H405" s="87">
        <f t="shared" si="90"/>
        <v>0</v>
      </c>
      <c r="I405" s="87"/>
      <c r="J405" s="87"/>
      <c r="K405" s="87"/>
    </row>
    <row r="406" spans="1:11" x14ac:dyDescent="0.25">
      <c r="A406" s="2">
        <v>403</v>
      </c>
      <c r="B406" s="87"/>
      <c r="C406" s="87"/>
      <c r="D406" s="87"/>
      <c r="E406" s="82"/>
      <c r="F406" s="87"/>
      <c r="G406" s="82"/>
      <c r="H406" s="87">
        <f t="shared" si="90"/>
        <v>0</v>
      </c>
      <c r="I406" s="87"/>
      <c r="J406" s="87"/>
      <c r="K406" s="87"/>
    </row>
    <row r="407" spans="1:11" x14ac:dyDescent="0.25">
      <c r="A407" s="2">
        <v>404</v>
      </c>
      <c r="B407" s="87"/>
      <c r="C407" s="87"/>
      <c r="D407" s="87"/>
      <c r="E407" s="82"/>
      <c r="F407" s="87"/>
      <c r="G407" s="82"/>
      <c r="H407" s="87">
        <f t="shared" si="90"/>
        <v>0</v>
      </c>
      <c r="I407" s="87"/>
      <c r="J407" s="87"/>
      <c r="K407" s="87"/>
    </row>
    <row r="408" spans="1:11" x14ac:dyDescent="0.25">
      <c r="A408" s="2">
        <v>405</v>
      </c>
      <c r="B408" s="87"/>
      <c r="C408" s="87"/>
      <c r="D408" s="87"/>
      <c r="E408" s="82"/>
      <c r="F408" s="87"/>
      <c r="G408" s="82"/>
      <c r="H408" s="87">
        <f t="shared" si="90"/>
        <v>0</v>
      </c>
      <c r="I408" s="87"/>
      <c r="J408" s="87"/>
      <c r="K408" s="87"/>
    </row>
    <row r="409" spans="1:11" x14ac:dyDescent="0.25">
      <c r="A409" s="2">
        <v>406</v>
      </c>
      <c r="B409" s="87"/>
      <c r="C409" s="87"/>
      <c r="D409" s="87"/>
      <c r="E409" s="82"/>
      <c r="F409" s="87"/>
      <c r="G409" s="82"/>
      <c r="H409" s="87">
        <f t="shared" si="90"/>
        <v>0</v>
      </c>
      <c r="I409" s="87"/>
      <c r="J409" s="87"/>
      <c r="K409" s="87"/>
    </row>
    <row r="410" spans="1:11" x14ac:dyDescent="0.25">
      <c r="A410" s="2">
        <v>407</v>
      </c>
      <c r="B410" s="87"/>
      <c r="C410" s="87"/>
      <c r="D410" s="87"/>
      <c r="E410" s="82"/>
      <c r="F410" s="87"/>
      <c r="G410" s="82"/>
      <c r="H410" s="87">
        <f t="shared" si="90"/>
        <v>0</v>
      </c>
      <c r="I410" s="87"/>
      <c r="J410" s="87"/>
      <c r="K410" s="87"/>
    </row>
    <row r="411" spans="1:11" x14ac:dyDescent="0.25">
      <c r="A411" s="2">
        <v>408</v>
      </c>
      <c r="B411" s="87"/>
      <c r="C411" s="87"/>
      <c r="D411" s="87"/>
      <c r="E411" s="82"/>
      <c r="F411" s="87"/>
      <c r="G411" s="82"/>
      <c r="H411" s="87">
        <f t="shared" si="90"/>
        <v>0</v>
      </c>
      <c r="I411" s="87"/>
      <c r="J411" s="87"/>
      <c r="K411" s="87"/>
    </row>
    <row r="412" spans="1:11" x14ac:dyDescent="0.25">
      <c r="A412" s="2">
        <v>409</v>
      </c>
      <c r="B412" s="87"/>
      <c r="C412" s="87"/>
      <c r="D412" s="87"/>
      <c r="E412" s="82"/>
      <c r="F412" s="87"/>
      <c r="G412" s="82"/>
      <c r="H412" s="87">
        <f t="shared" si="90"/>
        <v>0</v>
      </c>
      <c r="I412" s="87"/>
      <c r="J412" s="87"/>
      <c r="K412" s="87"/>
    </row>
    <row r="413" spans="1:11" x14ac:dyDescent="0.25">
      <c r="A413" s="2">
        <v>410</v>
      </c>
      <c r="B413" s="87"/>
      <c r="C413" s="87"/>
      <c r="D413" s="87"/>
      <c r="E413" s="82"/>
      <c r="F413" s="87"/>
      <c r="G413" s="82"/>
      <c r="H413" s="87">
        <f t="shared" si="90"/>
        <v>0</v>
      </c>
      <c r="I413" s="87"/>
      <c r="J413" s="87"/>
      <c r="K413" s="87"/>
    </row>
    <row r="414" spans="1:11" x14ac:dyDescent="0.25">
      <c r="A414" s="2">
        <v>411</v>
      </c>
      <c r="B414" s="87"/>
      <c r="C414" s="87"/>
      <c r="D414" s="87"/>
      <c r="E414" s="82"/>
      <c r="F414" s="87"/>
      <c r="G414" s="82"/>
      <c r="H414" s="87">
        <f t="shared" si="90"/>
        <v>0</v>
      </c>
      <c r="I414" s="87"/>
      <c r="J414" s="87"/>
      <c r="K414" s="87"/>
    </row>
  </sheetData>
  <autoFilter ref="A3:P386" xr:uid="{00000000-0009-0000-0000-000003000000}"/>
  <mergeCells count="1">
    <mergeCell ref="B2:K2"/>
  </mergeCells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2C8DFC51AF3B4EB65BD50C37B43287" ma:contentTypeVersion="2" ma:contentTypeDescription="Crear nuevo documento." ma:contentTypeScope="" ma:versionID="9ea8accfe353557586bfeb9015359011">
  <xsd:schema xmlns:xsd="http://www.w3.org/2001/XMLSchema" xmlns:xs="http://www.w3.org/2001/XMLSchema" xmlns:p="http://schemas.microsoft.com/office/2006/metadata/properties" xmlns:ns2="044daf4f-d228-4db0-b794-ba8ccf0f2444" targetNamespace="http://schemas.microsoft.com/office/2006/metadata/properties" ma:root="true" ma:fieldsID="68f0e874b87165a78919e4e79ec00c71" ns2:_="">
    <xsd:import namespace="044daf4f-d228-4db0-b794-ba8ccf0f2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daf4f-d228-4db0-b794-ba8ccf0f2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2232B3-1C17-4D5F-830F-FC3F648163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F17497-D361-470B-B9F6-C21F08BA3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daf4f-d228-4db0-b794-ba8ccf0f24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CD916D-C622-4909-9FFC-91A84006EE7F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44daf4f-d228-4db0-b794-ba8ccf0f244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20</vt:i4>
      </vt:variant>
    </vt:vector>
  </HeadingPairs>
  <TitlesOfParts>
    <vt:vector size="24" baseType="lpstr">
      <vt:lpstr>Plantilla valoración</vt:lpstr>
      <vt:lpstr>DATA COMBOS</vt:lpstr>
      <vt:lpstr>estimaciones Nuevo</vt:lpstr>
      <vt:lpstr>estimaciones Modificación</vt:lpstr>
      <vt:lpstr>AMBITO</vt:lpstr>
      <vt:lpstr>AMBITO_CONSTRUCCION_CT</vt:lpstr>
      <vt:lpstr>CE</vt:lpstr>
      <vt:lpstr>CEGeneral</vt:lpstr>
      <vt:lpstr>COMPLEJIDAD</vt:lpstr>
      <vt:lpstr>CT</vt:lpstr>
      <vt:lpstr>CTAPI_REST</vt:lpstr>
      <vt:lpstr>CTAPI_SOAP</vt:lpstr>
      <vt:lpstr>CTCore</vt:lpstr>
      <vt:lpstr>CTFrontal</vt:lpstr>
      <vt:lpstr>CTGeneral</vt:lpstr>
      <vt:lpstr>DT</vt:lpstr>
      <vt:lpstr>DTAPI_REST</vt:lpstr>
      <vt:lpstr>DTAPI_SOAP</vt:lpstr>
      <vt:lpstr>DTCore</vt:lpstr>
      <vt:lpstr>DTFrontal</vt:lpstr>
      <vt:lpstr>DTGeneral</vt:lpstr>
      <vt:lpstr>MD</vt:lpstr>
      <vt:lpstr>MDDAO</vt:lpstr>
      <vt:lpstr>NUEVO_MODIF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2020-12-17T11:20:05Z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0x010100542C8DFC51AF3B4EB65BD50C37B43287</vt:lpwstr>
  </property>
</Properties>
</file>