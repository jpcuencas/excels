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workbookPr refreshAllConnections="1" defaultThemeVersion="166925"/>
  <mc:AlternateContent xmlns:mc="http://schemas.openxmlformats.org/markup-compatibility/2006">
    <mc:Choice Requires="x15">
      <x15ac:absPath xmlns:x15ac="http://schemas.microsoft.com/office/spreadsheetml/2010/11/ac" url="E:\Trabajo\06 Cursos Informática\21 wordpress\ExcelTrucos.wordpress\Entradas Blog\Excel para fichar\"/>
    </mc:Choice>
  </mc:AlternateContent>
  <xr:revisionPtr revIDLastSave="0" documentId="8_{E0F53CE9-FA99-4723-8FD5-78B00584C285}" xr6:coauthVersionLast="47" xr6:coauthVersionMax="47" xr10:uidLastSave="{00000000-0000-0000-0000-000000000000}"/>
  <bookViews>
    <workbookView xWindow="20370" yWindow="-120" windowWidth="29040" windowHeight="15840" activeTab="1" xr2:uid="{13966E88-6AED-44A9-BF68-FF718946BD43}"/>
  </bookViews>
  <sheets>
    <sheet name="MARZO" sheetId="1" r:id="rId1"/>
    <sheet name="ABRIL" sheetId="10" r:id="rId2"/>
    <sheet name="MAYO" sheetId="9" r:id="rId3"/>
    <sheet name="JUNIO" sheetId="8" r:id="rId4"/>
    <sheet name="JULIO" sheetId="7" r:id="rId5"/>
    <sheet name="AGOSTO" sheetId="6" r:id="rId6"/>
    <sheet name="SEPTIEMBRE" sheetId="5" r:id="rId7"/>
    <sheet name="OCTUBRE" sheetId="4" r:id="rId8"/>
    <sheet name="NOVIEMBRE" sheetId="3" r:id="rId9"/>
    <sheet name="DICIEMBRE" sheetId="11" r:id="rId10"/>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1" i="1" l="1"/>
  <c r="E16" i="3"/>
  <c r="E16" i="4"/>
  <c r="E16" i="5"/>
  <c r="E16" i="6"/>
  <c r="E16" i="7"/>
  <c r="E16" i="8"/>
  <c r="E16" i="1"/>
  <c r="E15" i="1"/>
  <c r="E16" i="10"/>
  <c r="E11" i="8"/>
  <c r="E12" i="8"/>
  <c r="E13" i="8"/>
  <c r="E14" i="8"/>
  <c r="E15" i="8"/>
  <c r="E17" i="8"/>
  <c r="E18" i="8"/>
  <c r="E19" i="8"/>
  <c r="E20" i="8"/>
  <c r="E21" i="8"/>
  <c r="E22" i="8"/>
  <c r="E23" i="8"/>
  <c r="E24" i="8"/>
  <c r="E25" i="8"/>
  <c r="E26" i="8"/>
  <c r="E27" i="8"/>
  <c r="E28" i="8"/>
  <c r="E29" i="8"/>
  <c r="E30" i="8"/>
  <c r="E31" i="8"/>
  <c r="E32" i="8"/>
  <c r="E33" i="8"/>
  <c r="E34" i="8"/>
  <c r="E35" i="8"/>
  <c r="E36" i="8"/>
  <c r="E37" i="8"/>
  <c r="E38" i="8"/>
  <c r="E39" i="8"/>
  <c r="E40" i="8"/>
  <c r="E41" i="8"/>
  <c r="E11" i="7"/>
  <c r="E12" i="7"/>
  <c r="E13" i="7"/>
  <c r="E14" i="7"/>
  <c r="E15" i="7"/>
  <c r="E17" i="7"/>
  <c r="E18" i="7"/>
  <c r="E19" i="7"/>
  <c r="E20" i="7"/>
  <c r="E21" i="7"/>
  <c r="E22" i="7"/>
  <c r="E23" i="7"/>
  <c r="E24" i="7"/>
  <c r="E25" i="7"/>
  <c r="E26" i="7"/>
  <c r="E27" i="7"/>
  <c r="E28" i="7"/>
  <c r="E29" i="7"/>
  <c r="E30" i="7"/>
  <c r="E31" i="7"/>
  <c r="E32" i="7"/>
  <c r="E33" i="7"/>
  <c r="E34" i="7"/>
  <c r="E35" i="7"/>
  <c r="E36" i="7"/>
  <c r="E37" i="7"/>
  <c r="E38" i="7"/>
  <c r="E39" i="7"/>
  <c r="E40" i="7"/>
  <c r="E41" i="7"/>
  <c r="E16" i="9"/>
  <c r="K11" i="11"/>
  <c r="H11" i="11"/>
  <c r="L11" i="11"/>
  <c r="K12" i="11"/>
  <c r="H12" i="11"/>
  <c r="L12" i="11"/>
  <c r="K13" i="11"/>
  <c r="H13" i="11"/>
  <c r="L13" i="11"/>
  <c r="K14" i="11"/>
  <c r="H14" i="11"/>
  <c r="L14" i="11"/>
  <c r="K15" i="11"/>
  <c r="H15" i="11"/>
  <c r="L15" i="11"/>
  <c r="K17" i="11"/>
  <c r="H17" i="11"/>
  <c r="L17" i="11"/>
  <c r="K18" i="11"/>
  <c r="H18" i="11"/>
  <c r="L18" i="11"/>
  <c r="K19" i="11"/>
  <c r="H19" i="11"/>
  <c r="L19" i="11"/>
  <c r="K20" i="11"/>
  <c r="H20" i="11"/>
  <c r="L20" i="11"/>
  <c r="K21" i="11"/>
  <c r="H21" i="11"/>
  <c r="L21" i="11"/>
  <c r="K22" i="11"/>
  <c r="H22" i="11"/>
  <c r="L22" i="11"/>
  <c r="K23" i="11"/>
  <c r="H23" i="11"/>
  <c r="L23" i="11"/>
  <c r="K24" i="11"/>
  <c r="H24" i="11"/>
  <c r="L24" i="11"/>
  <c r="K25" i="11"/>
  <c r="H25" i="11"/>
  <c r="L25" i="11"/>
  <c r="K26" i="11"/>
  <c r="H26" i="11"/>
  <c r="L26" i="11"/>
  <c r="K27" i="11"/>
  <c r="H27" i="11"/>
  <c r="L27" i="11"/>
  <c r="K28" i="11"/>
  <c r="H28" i="11"/>
  <c r="L28" i="11"/>
  <c r="K29" i="11"/>
  <c r="H29" i="11"/>
  <c r="L29" i="11"/>
  <c r="K30" i="11"/>
  <c r="H30" i="11"/>
  <c r="L30" i="11"/>
  <c r="K31" i="11"/>
  <c r="H31" i="11"/>
  <c r="L31" i="11"/>
  <c r="K32" i="11"/>
  <c r="H32" i="11"/>
  <c r="L32" i="11"/>
  <c r="K33" i="11"/>
  <c r="H33" i="11"/>
  <c r="L33" i="11"/>
  <c r="K34" i="11"/>
  <c r="H34" i="11"/>
  <c r="L34" i="11"/>
  <c r="K35" i="11"/>
  <c r="H35" i="11"/>
  <c r="L35" i="11"/>
  <c r="K36" i="11"/>
  <c r="H36" i="11"/>
  <c r="L36" i="11"/>
  <c r="K37" i="11"/>
  <c r="H37" i="11"/>
  <c r="L37" i="11"/>
  <c r="K38" i="11"/>
  <c r="H38" i="11"/>
  <c r="L38" i="11"/>
  <c r="K39" i="11"/>
  <c r="H39" i="11"/>
  <c r="L39" i="11"/>
  <c r="K40" i="11"/>
  <c r="H40" i="11"/>
  <c r="L40" i="11"/>
  <c r="K41" i="11"/>
  <c r="H41" i="11"/>
  <c r="L41" i="11"/>
  <c r="L42" i="11"/>
  <c r="K42" i="11"/>
  <c r="H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5" i="11"/>
  <c r="E14" i="11"/>
  <c r="E13" i="11"/>
  <c r="E12" i="11"/>
  <c r="E11" i="11"/>
  <c r="K11" i="10"/>
  <c r="H11" i="10"/>
  <c r="L11" i="10"/>
  <c r="K12" i="10"/>
  <c r="H12" i="10"/>
  <c r="L12" i="10"/>
  <c r="K13" i="10"/>
  <c r="H13" i="10"/>
  <c r="L13" i="10"/>
  <c r="K14" i="10"/>
  <c r="H14" i="10"/>
  <c r="L14" i="10"/>
  <c r="K15" i="10"/>
  <c r="H15" i="10"/>
  <c r="L15" i="10"/>
  <c r="K17" i="10"/>
  <c r="H17" i="10"/>
  <c r="L17" i="10"/>
  <c r="K18" i="10"/>
  <c r="H18" i="10"/>
  <c r="L18" i="10"/>
  <c r="K19" i="10"/>
  <c r="H19" i="10"/>
  <c r="L19" i="10"/>
  <c r="K20" i="10"/>
  <c r="H20" i="10"/>
  <c r="L20" i="10"/>
  <c r="K21" i="10"/>
  <c r="H21" i="10"/>
  <c r="L21" i="10"/>
  <c r="K22" i="10"/>
  <c r="H22" i="10"/>
  <c r="L22" i="10"/>
  <c r="K23" i="10"/>
  <c r="H23" i="10"/>
  <c r="L23" i="10"/>
  <c r="K24" i="10"/>
  <c r="H24" i="10"/>
  <c r="L24" i="10"/>
  <c r="K25" i="10"/>
  <c r="H25" i="10"/>
  <c r="L25" i="10"/>
  <c r="K26" i="10"/>
  <c r="H26" i="10"/>
  <c r="L26" i="10"/>
  <c r="K27" i="10"/>
  <c r="H27" i="10"/>
  <c r="L27" i="10"/>
  <c r="K28" i="10"/>
  <c r="H28" i="10"/>
  <c r="L28" i="10"/>
  <c r="K29" i="10"/>
  <c r="H29" i="10"/>
  <c r="L29" i="10"/>
  <c r="K30" i="10"/>
  <c r="H30" i="10"/>
  <c r="L30" i="10"/>
  <c r="K31" i="10"/>
  <c r="H31" i="10"/>
  <c r="L31" i="10"/>
  <c r="K32" i="10"/>
  <c r="H32" i="10"/>
  <c r="L32" i="10"/>
  <c r="K33" i="10"/>
  <c r="H33" i="10"/>
  <c r="L33" i="10"/>
  <c r="K34" i="10"/>
  <c r="H34" i="10"/>
  <c r="L34" i="10"/>
  <c r="K35" i="10"/>
  <c r="H35" i="10"/>
  <c r="L35" i="10"/>
  <c r="K36" i="10"/>
  <c r="H36" i="10"/>
  <c r="L36" i="10"/>
  <c r="K37" i="10"/>
  <c r="H37" i="10"/>
  <c r="L37" i="10"/>
  <c r="K38" i="10"/>
  <c r="H38" i="10"/>
  <c r="L38" i="10"/>
  <c r="K39" i="10"/>
  <c r="H39" i="10"/>
  <c r="L39" i="10"/>
  <c r="K40" i="10"/>
  <c r="H40" i="10"/>
  <c r="L40" i="10"/>
  <c r="K41" i="10"/>
  <c r="H41" i="10"/>
  <c r="L41" i="10"/>
  <c r="L42" i="10"/>
  <c r="K42" i="10"/>
  <c r="H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5" i="10"/>
  <c r="E14" i="10"/>
  <c r="E13" i="10"/>
  <c r="E12" i="10"/>
  <c r="E11" i="10"/>
  <c r="K11" i="9"/>
  <c r="H11" i="9"/>
  <c r="L11" i="9"/>
  <c r="K12" i="9"/>
  <c r="H12" i="9"/>
  <c r="L12" i="9"/>
  <c r="K13" i="9"/>
  <c r="H13" i="9"/>
  <c r="L13" i="9"/>
  <c r="K14" i="9"/>
  <c r="H14" i="9"/>
  <c r="L14" i="9"/>
  <c r="K15" i="9"/>
  <c r="H15" i="9"/>
  <c r="L15" i="9"/>
  <c r="K17" i="9"/>
  <c r="H17" i="9"/>
  <c r="L17" i="9"/>
  <c r="K18" i="9"/>
  <c r="H18" i="9"/>
  <c r="L18" i="9"/>
  <c r="K19" i="9"/>
  <c r="H19" i="9"/>
  <c r="L19" i="9"/>
  <c r="K20" i="9"/>
  <c r="H20" i="9"/>
  <c r="L20" i="9"/>
  <c r="K21" i="9"/>
  <c r="H21" i="9"/>
  <c r="L21" i="9"/>
  <c r="K22" i="9"/>
  <c r="H22" i="9"/>
  <c r="L22" i="9"/>
  <c r="K23" i="9"/>
  <c r="H23" i="9"/>
  <c r="L23" i="9"/>
  <c r="K24" i="9"/>
  <c r="H24" i="9"/>
  <c r="L24" i="9"/>
  <c r="K25" i="9"/>
  <c r="H25" i="9"/>
  <c r="L25" i="9"/>
  <c r="K26" i="9"/>
  <c r="H26" i="9"/>
  <c r="L26" i="9"/>
  <c r="K27" i="9"/>
  <c r="H27" i="9"/>
  <c r="L27" i="9"/>
  <c r="K28" i="9"/>
  <c r="H28" i="9"/>
  <c r="L28" i="9"/>
  <c r="K29" i="9"/>
  <c r="H29" i="9"/>
  <c r="L29" i="9"/>
  <c r="K30" i="9"/>
  <c r="H30" i="9"/>
  <c r="L30" i="9"/>
  <c r="K31" i="9"/>
  <c r="H31" i="9"/>
  <c r="L31" i="9"/>
  <c r="K32" i="9"/>
  <c r="H32" i="9"/>
  <c r="L32" i="9"/>
  <c r="K33" i="9"/>
  <c r="H33" i="9"/>
  <c r="L33" i="9"/>
  <c r="K34" i="9"/>
  <c r="H34" i="9"/>
  <c r="L34" i="9"/>
  <c r="K35" i="9"/>
  <c r="H35" i="9"/>
  <c r="L35" i="9"/>
  <c r="K36" i="9"/>
  <c r="H36" i="9"/>
  <c r="L36" i="9"/>
  <c r="K37" i="9"/>
  <c r="H37" i="9"/>
  <c r="L37" i="9"/>
  <c r="K38" i="9"/>
  <c r="H38" i="9"/>
  <c r="L38" i="9"/>
  <c r="K39" i="9"/>
  <c r="H39" i="9"/>
  <c r="L39" i="9"/>
  <c r="K40" i="9"/>
  <c r="H40" i="9"/>
  <c r="L40" i="9"/>
  <c r="K41" i="9"/>
  <c r="H41" i="9"/>
  <c r="L41" i="9"/>
  <c r="L42" i="9"/>
  <c r="K42" i="9"/>
  <c r="H42" i="9"/>
  <c r="E41" i="9"/>
  <c r="E40" i="9"/>
  <c r="E39" i="9"/>
  <c r="E38" i="9"/>
  <c r="E37" i="9"/>
  <c r="E36" i="9"/>
  <c r="E35" i="9"/>
  <c r="E34" i="9"/>
  <c r="E33" i="9"/>
  <c r="E32" i="9"/>
  <c r="E31" i="9"/>
  <c r="E30" i="9"/>
  <c r="E29" i="9"/>
  <c r="E28" i="9"/>
  <c r="E27" i="9"/>
  <c r="E26" i="9"/>
  <c r="E25" i="9"/>
  <c r="E24" i="9"/>
  <c r="E23" i="9"/>
  <c r="E22" i="9"/>
  <c r="E21" i="9"/>
  <c r="E20" i="9"/>
  <c r="E19" i="9"/>
  <c r="E18" i="9"/>
  <c r="E17" i="9"/>
  <c r="E15" i="9"/>
  <c r="E14" i="9"/>
  <c r="E13" i="9"/>
  <c r="E12" i="9"/>
  <c r="E11" i="9"/>
  <c r="K11" i="8"/>
  <c r="H11" i="8"/>
  <c r="L11" i="8"/>
  <c r="K12" i="8"/>
  <c r="H12" i="8"/>
  <c r="L12" i="8"/>
  <c r="K13" i="8"/>
  <c r="H13" i="8"/>
  <c r="L13" i="8"/>
  <c r="K14" i="8"/>
  <c r="H14" i="8"/>
  <c r="L14" i="8"/>
  <c r="K15" i="8"/>
  <c r="H15" i="8"/>
  <c r="L15" i="8"/>
  <c r="K17" i="8"/>
  <c r="H17" i="8"/>
  <c r="L17" i="8"/>
  <c r="K18" i="8"/>
  <c r="H18" i="8"/>
  <c r="L18" i="8"/>
  <c r="K19" i="8"/>
  <c r="H19" i="8"/>
  <c r="L19" i="8"/>
  <c r="K20" i="8"/>
  <c r="H20" i="8"/>
  <c r="L20" i="8"/>
  <c r="K21" i="8"/>
  <c r="H21" i="8"/>
  <c r="L21" i="8"/>
  <c r="K22" i="8"/>
  <c r="H22" i="8"/>
  <c r="L22" i="8"/>
  <c r="K23" i="8"/>
  <c r="H23" i="8"/>
  <c r="L23" i="8"/>
  <c r="K24" i="8"/>
  <c r="H24" i="8"/>
  <c r="L24" i="8"/>
  <c r="K25" i="8"/>
  <c r="H25" i="8"/>
  <c r="L25" i="8"/>
  <c r="K26" i="8"/>
  <c r="H26" i="8"/>
  <c r="L26" i="8"/>
  <c r="K27" i="8"/>
  <c r="H27" i="8"/>
  <c r="L27" i="8"/>
  <c r="K28" i="8"/>
  <c r="H28" i="8"/>
  <c r="L28" i="8"/>
  <c r="K29" i="8"/>
  <c r="H29" i="8"/>
  <c r="L29" i="8"/>
  <c r="K30" i="8"/>
  <c r="H30" i="8"/>
  <c r="L30" i="8"/>
  <c r="K31" i="8"/>
  <c r="H31" i="8"/>
  <c r="L31" i="8"/>
  <c r="K32" i="8"/>
  <c r="H32" i="8"/>
  <c r="L32" i="8"/>
  <c r="K33" i="8"/>
  <c r="H33" i="8"/>
  <c r="L33" i="8"/>
  <c r="K34" i="8"/>
  <c r="H34" i="8"/>
  <c r="L34" i="8"/>
  <c r="K35" i="8"/>
  <c r="H35" i="8"/>
  <c r="L35" i="8"/>
  <c r="K36" i="8"/>
  <c r="H36" i="8"/>
  <c r="L36" i="8"/>
  <c r="K37" i="8"/>
  <c r="H37" i="8"/>
  <c r="L37" i="8"/>
  <c r="K38" i="8"/>
  <c r="H38" i="8"/>
  <c r="L38" i="8"/>
  <c r="K39" i="8"/>
  <c r="H39" i="8"/>
  <c r="L39" i="8"/>
  <c r="K40" i="8"/>
  <c r="H40" i="8"/>
  <c r="L40" i="8"/>
  <c r="K41" i="8"/>
  <c r="H41" i="8"/>
  <c r="L41" i="8"/>
  <c r="L42" i="8"/>
  <c r="K42" i="8"/>
  <c r="H42" i="8"/>
  <c r="K11" i="7"/>
  <c r="H11" i="7"/>
  <c r="L11" i="7"/>
  <c r="K12" i="7"/>
  <c r="H12" i="7"/>
  <c r="L12" i="7"/>
  <c r="K13" i="7"/>
  <c r="H13" i="7"/>
  <c r="L13" i="7"/>
  <c r="K14" i="7"/>
  <c r="H14" i="7"/>
  <c r="L14" i="7"/>
  <c r="K15" i="7"/>
  <c r="H15" i="7"/>
  <c r="L15" i="7"/>
  <c r="K17" i="7"/>
  <c r="H17" i="7"/>
  <c r="L17" i="7"/>
  <c r="K18" i="7"/>
  <c r="H18" i="7"/>
  <c r="L18" i="7"/>
  <c r="K19" i="7"/>
  <c r="H19" i="7"/>
  <c r="L19" i="7"/>
  <c r="K20" i="7"/>
  <c r="H20" i="7"/>
  <c r="L20" i="7"/>
  <c r="K21" i="7"/>
  <c r="H21" i="7"/>
  <c r="L21" i="7"/>
  <c r="K22" i="7"/>
  <c r="H22" i="7"/>
  <c r="L22" i="7"/>
  <c r="K23" i="7"/>
  <c r="H23" i="7"/>
  <c r="L23" i="7"/>
  <c r="K24" i="7"/>
  <c r="H24" i="7"/>
  <c r="L24" i="7"/>
  <c r="K25" i="7"/>
  <c r="H25" i="7"/>
  <c r="L25" i="7"/>
  <c r="K26" i="7"/>
  <c r="H26" i="7"/>
  <c r="L26" i="7"/>
  <c r="K27" i="7"/>
  <c r="H27" i="7"/>
  <c r="L27" i="7"/>
  <c r="K28" i="7"/>
  <c r="H28" i="7"/>
  <c r="L28" i="7"/>
  <c r="K29" i="7"/>
  <c r="H29" i="7"/>
  <c r="L29" i="7"/>
  <c r="K30" i="7"/>
  <c r="H30" i="7"/>
  <c r="L30" i="7"/>
  <c r="K31" i="7"/>
  <c r="H31" i="7"/>
  <c r="L31" i="7"/>
  <c r="K32" i="7"/>
  <c r="H32" i="7"/>
  <c r="L32" i="7"/>
  <c r="K33" i="7"/>
  <c r="H33" i="7"/>
  <c r="L33" i="7"/>
  <c r="K34" i="7"/>
  <c r="H34" i="7"/>
  <c r="L34" i="7"/>
  <c r="K35" i="7"/>
  <c r="H35" i="7"/>
  <c r="L35" i="7"/>
  <c r="K36" i="7"/>
  <c r="H36" i="7"/>
  <c r="L36" i="7"/>
  <c r="K37" i="7"/>
  <c r="H37" i="7"/>
  <c r="L37" i="7"/>
  <c r="K38" i="7"/>
  <c r="H38" i="7"/>
  <c r="L38" i="7"/>
  <c r="K39" i="7"/>
  <c r="H39" i="7"/>
  <c r="L39" i="7"/>
  <c r="K40" i="7"/>
  <c r="H40" i="7"/>
  <c r="L40" i="7"/>
  <c r="K41" i="7"/>
  <c r="H41" i="7"/>
  <c r="L41" i="7"/>
  <c r="L42" i="7"/>
  <c r="K42" i="7"/>
  <c r="H42" i="7"/>
  <c r="K11" i="6"/>
  <c r="H11" i="6"/>
  <c r="L11" i="6"/>
  <c r="K12" i="6"/>
  <c r="H12" i="6"/>
  <c r="L12" i="6"/>
  <c r="K13" i="6"/>
  <c r="H13" i="6"/>
  <c r="L13" i="6"/>
  <c r="K14" i="6"/>
  <c r="H14" i="6"/>
  <c r="L14" i="6"/>
  <c r="K15" i="6"/>
  <c r="H15" i="6"/>
  <c r="L15" i="6"/>
  <c r="K17" i="6"/>
  <c r="H17" i="6"/>
  <c r="L17" i="6"/>
  <c r="K18" i="6"/>
  <c r="H18" i="6"/>
  <c r="L18" i="6"/>
  <c r="K19" i="6"/>
  <c r="H19" i="6"/>
  <c r="L19" i="6"/>
  <c r="K20" i="6"/>
  <c r="H20" i="6"/>
  <c r="L20" i="6"/>
  <c r="K21" i="6"/>
  <c r="H21" i="6"/>
  <c r="L21" i="6"/>
  <c r="K22" i="6"/>
  <c r="H22" i="6"/>
  <c r="L22" i="6"/>
  <c r="K23" i="6"/>
  <c r="H23" i="6"/>
  <c r="L23" i="6"/>
  <c r="K24" i="6"/>
  <c r="H24" i="6"/>
  <c r="L24" i="6"/>
  <c r="K25" i="6"/>
  <c r="H25" i="6"/>
  <c r="L25" i="6"/>
  <c r="K26" i="6"/>
  <c r="H26" i="6"/>
  <c r="L26" i="6"/>
  <c r="K27" i="6"/>
  <c r="H27" i="6"/>
  <c r="L27" i="6"/>
  <c r="K28" i="6"/>
  <c r="H28" i="6"/>
  <c r="L28" i="6"/>
  <c r="K29" i="6"/>
  <c r="H29" i="6"/>
  <c r="L29" i="6"/>
  <c r="K30" i="6"/>
  <c r="H30" i="6"/>
  <c r="L30" i="6"/>
  <c r="K31" i="6"/>
  <c r="H31" i="6"/>
  <c r="L31" i="6"/>
  <c r="K32" i="6"/>
  <c r="H32" i="6"/>
  <c r="L32" i="6"/>
  <c r="K33" i="6"/>
  <c r="H33" i="6"/>
  <c r="L33" i="6"/>
  <c r="K34" i="6"/>
  <c r="H34" i="6"/>
  <c r="L34" i="6"/>
  <c r="K35" i="6"/>
  <c r="H35" i="6"/>
  <c r="L35" i="6"/>
  <c r="K36" i="6"/>
  <c r="H36" i="6"/>
  <c r="L36" i="6"/>
  <c r="K37" i="6"/>
  <c r="H37" i="6"/>
  <c r="L37" i="6"/>
  <c r="K38" i="6"/>
  <c r="H38" i="6"/>
  <c r="L38" i="6"/>
  <c r="K39" i="6"/>
  <c r="H39" i="6"/>
  <c r="L39" i="6"/>
  <c r="K40" i="6"/>
  <c r="H40" i="6"/>
  <c r="L40" i="6"/>
  <c r="K41" i="6"/>
  <c r="H41" i="6"/>
  <c r="L41" i="6"/>
  <c r="L42" i="6"/>
  <c r="K42" i="6"/>
  <c r="H42" i="6"/>
  <c r="E41" i="6"/>
  <c r="E40" i="6"/>
  <c r="E39" i="6"/>
  <c r="E38" i="6"/>
  <c r="E37" i="6"/>
  <c r="E36" i="6"/>
  <c r="E35" i="6"/>
  <c r="E34" i="6"/>
  <c r="E33" i="6"/>
  <c r="E32" i="6"/>
  <c r="E31" i="6"/>
  <c r="E30" i="6"/>
  <c r="E29" i="6"/>
  <c r="E28" i="6"/>
  <c r="E27" i="6"/>
  <c r="E26" i="6"/>
  <c r="E25" i="6"/>
  <c r="E24" i="6"/>
  <c r="E23" i="6"/>
  <c r="E22" i="6"/>
  <c r="E21" i="6"/>
  <c r="E20" i="6"/>
  <c r="E19" i="6"/>
  <c r="E18" i="6"/>
  <c r="E17" i="6"/>
  <c r="E15" i="6"/>
  <c r="E14" i="6"/>
  <c r="E13" i="6"/>
  <c r="E12" i="6"/>
  <c r="E11" i="6"/>
  <c r="K11" i="5"/>
  <c r="H11" i="5"/>
  <c r="L11" i="5"/>
  <c r="K12" i="5"/>
  <c r="H12" i="5"/>
  <c r="L12" i="5"/>
  <c r="K13" i="5"/>
  <c r="H13" i="5"/>
  <c r="L13" i="5"/>
  <c r="K14" i="5"/>
  <c r="H14" i="5"/>
  <c r="L14" i="5"/>
  <c r="K15" i="5"/>
  <c r="H15" i="5"/>
  <c r="L15" i="5"/>
  <c r="K17" i="5"/>
  <c r="H17" i="5"/>
  <c r="L17" i="5"/>
  <c r="K18" i="5"/>
  <c r="H18" i="5"/>
  <c r="L18" i="5"/>
  <c r="K19" i="5"/>
  <c r="H19" i="5"/>
  <c r="L19" i="5"/>
  <c r="K20" i="5"/>
  <c r="H20" i="5"/>
  <c r="L20" i="5"/>
  <c r="K21" i="5"/>
  <c r="H21" i="5"/>
  <c r="L21" i="5"/>
  <c r="K22" i="5"/>
  <c r="H22" i="5"/>
  <c r="L22" i="5"/>
  <c r="K23" i="5"/>
  <c r="H23" i="5"/>
  <c r="L23" i="5"/>
  <c r="K24" i="5"/>
  <c r="H24" i="5"/>
  <c r="L24" i="5"/>
  <c r="K25" i="5"/>
  <c r="H25" i="5"/>
  <c r="L25" i="5"/>
  <c r="K26" i="5"/>
  <c r="H26" i="5"/>
  <c r="L26" i="5"/>
  <c r="K27" i="5"/>
  <c r="H27" i="5"/>
  <c r="L27" i="5"/>
  <c r="K28" i="5"/>
  <c r="H28" i="5"/>
  <c r="L28" i="5"/>
  <c r="K29" i="5"/>
  <c r="H29" i="5"/>
  <c r="L29" i="5"/>
  <c r="K30" i="5"/>
  <c r="H30" i="5"/>
  <c r="L30" i="5"/>
  <c r="K31" i="5"/>
  <c r="H31" i="5"/>
  <c r="L31" i="5"/>
  <c r="K32" i="5"/>
  <c r="H32" i="5"/>
  <c r="L32" i="5"/>
  <c r="K33" i="5"/>
  <c r="H33" i="5"/>
  <c r="L33" i="5"/>
  <c r="K34" i="5"/>
  <c r="H34" i="5"/>
  <c r="L34" i="5"/>
  <c r="K35" i="5"/>
  <c r="H35" i="5"/>
  <c r="L35" i="5"/>
  <c r="K36" i="5"/>
  <c r="H36" i="5"/>
  <c r="L36" i="5"/>
  <c r="K37" i="5"/>
  <c r="H37" i="5"/>
  <c r="L37" i="5"/>
  <c r="K38" i="5"/>
  <c r="H38" i="5"/>
  <c r="L38" i="5"/>
  <c r="K39" i="5"/>
  <c r="H39" i="5"/>
  <c r="L39" i="5"/>
  <c r="K40" i="5"/>
  <c r="H40" i="5"/>
  <c r="L40" i="5"/>
  <c r="K41" i="5"/>
  <c r="H41" i="5"/>
  <c r="L41" i="5"/>
  <c r="L42" i="5"/>
  <c r="K42" i="5"/>
  <c r="H42" i="5"/>
  <c r="E41" i="5"/>
  <c r="E40" i="5"/>
  <c r="E39" i="5"/>
  <c r="E38" i="5"/>
  <c r="E37" i="5"/>
  <c r="E36" i="5"/>
  <c r="E35" i="5"/>
  <c r="E34" i="5"/>
  <c r="E33" i="5"/>
  <c r="E32" i="5"/>
  <c r="E31" i="5"/>
  <c r="E30" i="5"/>
  <c r="E29" i="5"/>
  <c r="E28" i="5"/>
  <c r="E27" i="5"/>
  <c r="E26" i="5"/>
  <c r="E25" i="5"/>
  <c r="E24" i="5"/>
  <c r="E23" i="5"/>
  <c r="E22" i="5"/>
  <c r="E21" i="5"/>
  <c r="E20" i="5"/>
  <c r="E19" i="5"/>
  <c r="E18" i="5"/>
  <c r="E17" i="5"/>
  <c r="E15" i="5"/>
  <c r="E14" i="5"/>
  <c r="E13" i="5"/>
  <c r="E12" i="5"/>
  <c r="E11" i="5"/>
  <c r="K11" i="4"/>
  <c r="H11" i="4"/>
  <c r="L11" i="4"/>
  <c r="K12" i="4"/>
  <c r="H12" i="4"/>
  <c r="L12" i="4"/>
  <c r="K13" i="4"/>
  <c r="H13" i="4"/>
  <c r="L13" i="4"/>
  <c r="K14" i="4"/>
  <c r="H14" i="4"/>
  <c r="L14" i="4"/>
  <c r="K15" i="4"/>
  <c r="H15" i="4"/>
  <c r="L15" i="4"/>
  <c r="K17" i="4"/>
  <c r="H17" i="4"/>
  <c r="L17" i="4"/>
  <c r="K18" i="4"/>
  <c r="H18" i="4"/>
  <c r="L18" i="4"/>
  <c r="K19" i="4"/>
  <c r="H19" i="4"/>
  <c r="L19" i="4"/>
  <c r="K20" i="4"/>
  <c r="H20" i="4"/>
  <c r="L20" i="4"/>
  <c r="K21" i="4"/>
  <c r="H21" i="4"/>
  <c r="L21" i="4"/>
  <c r="K22" i="4"/>
  <c r="H22" i="4"/>
  <c r="L22" i="4"/>
  <c r="K23" i="4"/>
  <c r="H23" i="4"/>
  <c r="L23" i="4"/>
  <c r="K24" i="4"/>
  <c r="H24" i="4"/>
  <c r="L24" i="4"/>
  <c r="K25" i="4"/>
  <c r="H25" i="4"/>
  <c r="L25" i="4"/>
  <c r="K26" i="4"/>
  <c r="H26" i="4"/>
  <c r="L26" i="4"/>
  <c r="K27" i="4"/>
  <c r="H27" i="4"/>
  <c r="L27" i="4"/>
  <c r="K28" i="4"/>
  <c r="H28" i="4"/>
  <c r="L28" i="4"/>
  <c r="K29" i="4"/>
  <c r="H29" i="4"/>
  <c r="L29" i="4"/>
  <c r="K30" i="4"/>
  <c r="H30" i="4"/>
  <c r="L30" i="4"/>
  <c r="K31" i="4"/>
  <c r="H31" i="4"/>
  <c r="L31" i="4"/>
  <c r="K32" i="4"/>
  <c r="H32" i="4"/>
  <c r="L32" i="4"/>
  <c r="K33" i="4"/>
  <c r="H33" i="4"/>
  <c r="L33" i="4"/>
  <c r="K34" i="4"/>
  <c r="H34" i="4"/>
  <c r="L34" i="4"/>
  <c r="K35" i="4"/>
  <c r="H35" i="4"/>
  <c r="L35" i="4"/>
  <c r="K36" i="4"/>
  <c r="H36" i="4"/>
  <c r="L36" i="4"/>
  <c r="K37" i="4"/>
  <c r="H37" i="4"/>
  <c r="L37" i="4"/>
  <c r="K38" i="4"/>
  <c r="H38" i="4"/>
  <c r="L38" i="4"/>
  <c r="K39" i="4"/>
  <c r="H39" i="4"/>
  <c r="L39" i="4"/>
  <c r="K40" i="4"/>
  <c r="H40" i="4"/>
  <c r="L40" i="4"/>
  <c r="K41" i="4"/>
  <c r="H41" i="4"/>
  <c r="L41" i="4"/>
  <c r="L42" i="4"/>
  <c r="K42" i="4"/>
  <c r="H42" i="4"/>
  <c r="E41" i="4"/>
  <c r="E40" i="4"/>
  <c r="E39" i="4"/>
  <c r="E38" i="4"/>
  <c r="E37" i="4"/>
  <c r="E36" i="4"/>
  <c r="E35" i="4"/>
  <c r="E34" i="4"/>
  <c r="E33" i="4"/>
  <c r="E32" i="4"/>
  <c r="E31" i="4"/>
  <c r="E30" i="4"/>
  <c r="E29" i="4"/>
  <c r="E28" i="4"/>
  <c r="E27" i="4"/>
  <c r="E26" i="4"/>
  <c r="E25" i="4"/>
  <c r="E24" i="4"/>
  <c r="E23" i="4"/>
  <c r="E22" i="4"/>
  <c r="E21" i="4"/>
  <c r="E20" i="4"/>
  <c r="E19" i="4"/>
  <c r="E18" i="4"/>
  <c r="E17" i="4"/>
  <c r="E15" i="4"/>
  <c r="E14" i="4"/>
  <c r="E13" i="4"/>
  <c r="E12" i="4"/>
  <c r="E11" i="4"/>
  <c r="K11" i="3"/>
  <c r="H11" i="3"/>
  <c r="L11" i="3"/>
  <c r="K12" i="3"/>
  <c r="H12" i="3"/>
  <c r="L12" i="3"/>
  <c r="K13" i="3"/>
  <c r="H13" i="3"/>
  <c r="L13" i="3"/>
  <c r="K14" i="3"/>
  <c r="H14" i="3"/>
  <c r="L14" i="3"/>
  <c r="K15" i="3"/>
  <c r="H15" i="3"/>
  <c r="L15" i="3"/>
  <c r="K17" i="3"/>
  <c r="H17" i="3"/>
  <c r="L17" i="3"/>
  <c r="K18" i="3"/>
  <c r="H18" i="3"/>
  <c r="L18" i="3"/>
  <c r="K19" i="3"/>
  <c r="H19" i="3"/>
  <c r="L19" i="3"/>
  <c r="K20" i="3"/>
  <c r="H20" i="3"/>
  <c r="L20" i="3"/>
  <c r="K21" i="3"/>
  <c r="H21" i="3"/>
  <c r="L21" i="3"/>
  <c r="K22" i="3"/>
  <c r="H22" i="3"/>
  <c r="L22" i="3"/>
  <c r="K23" i="3"/>
  <c r="H23" i="3"/>
  <c r="L23" i="3"/>
  <c r="K24" i="3"/>
  <c r="H24" i="3"/>
  <c r="L24" i="3"/>
  <c r="K25" i="3"/>
  <c r="H25" i="3"/>
  <c r="L25" i="3"/>
  <c r="K26" i="3"/>
  <c r="H26" i="3"/>
  <c r="L26" i="3"/>
  <c r="K27" i="3"/>
  <c r="H27" i="3"/>
  <c r="L27" i="3"/>
  <c r="K28" i="3"/>
  <c r="H28" i="3"/>
  <c r="L28" i="3"/>
  <c r="K29" i="3"/>
  <c r="H29" i="3"/>
  <c r="L29" i="3"/>
  <c r="K30" i="3"/>
  <c r="H30" i="3"/>
  <c r="L30" i="3"/>
  <c r="K31" i="3"/>
  <c r="H31" i="3"/>
  <c r="L31" i="3"/>
  <c r="K32" i="3"/>
  <c r="H32" i="3"/>
  <c r="L32" i="3"/>
  <c r="K33" i="3"/>
  <c r="H33" i="3"/>
  <c r="L33" i="3"/>
  <c r="K34" i="3"/>
  <c r="H34" i="3"/>
  <c r="L34" i="3"/>
  <c r="K35" i="3"/>
  <c r="H35" i="3"/>
  <c r="L35" i="3"/>
  <c r="K36" i="3"/>
  <c r="H36" i="3"/>
  <c r="L36" i="3"/>
  <c r="K37" i="3"/>
  <c r="H37" i="3"/>
  <c r="L37" i="3"/>
  <c r="K38" i="3"/>
  <c r="H38" i="3"/>
  <c r="L38" i="3"/>
  <c r="K39" i="3"/>
  <c r="H39" i="3"/>
  <c r="L39" i="3"/>
  <c r="K40" i="3"/>
  <c r="H40" i="3"/>
  <c r="L40" i="3"/>
  <c r="K41" i="3"/>
  <c r="H41" i="3"/>
  <c r="L41" i="3"/>
  <c r="L42" i="3"/>
  <c r="K42" i="3"/>
  <c r="H42" i="3"/>
  <c r="E41" i="3"/>
  <c r="E40" i="3"/>
  <c r="E39" i="3"/>
  <c r="E38" i="3"/>
  <c r="E37" i="3"/>
  <c r="E36" i="3"/>
  <c r="E35" i="3"/>
  <c r="E34" i="3"/>
  <c r="E33" i="3"/>
  <c r="E32" i="3"/>
  <c r="E31" i="3"/>
  <c r="E30" i="3"/>
  <c r="E29" i="3"/>
  <c r="E28" i="3"/>
  <c r="E27" i="3"/>
  <c r="E26" i="3"/>
  <c r="E25" i="3"/>
  <c r="E24" i="3"/>
  <c r="E23" i="3"/>
  <c r="E22" i="3"/>
  <c r="E21" i="3"/>
  <c r="E20" i="3"/>
  <c r="E19" i="3"/>
  <c r="E18" i="3"/>
  <c r="E17" i="3"/>
  <c r="E15" i="3"/>
  <c r="E14" i="3"/>
  <c r="E13" i="3"/>
  <c r="E12" i="3"/>
  <c r="E11" i="3"/>
  <c r="E11" i="1"/>
  <c r="E12" i="1"/>
  <c r="H12" i="1"/>
  <c r="E13" i="1"/>
  <c r="H13" i="1"/>
  <c r="K13" i="1"/>
  <c r="L13" i="1"/>
  <c r="E18" i="1"/>
  <c r="K41" i="1"/>
  <c r="H41" i="1"/>
  <c r="L41" i="1"/>
  <c r="E41" i="1"/>
  <c r="K40" i="1"/>
  <c r="H40" i="1"/>
  <c r="L40" i="1"/>
  <c r="E40" i="1"/>
  <c r="K39" i="1"/>
  <c r="H39" i="1"/>
  <c r="L39" i="1"/>
  <c r="E39" i="1"/>
  <c r="K38" i="1"/>
  <c r="H38" i="1"/>
  <c r="L38" i="1"/>
  <c r="E38" i="1"/>
  <c r="K37" i="1"/>
  <c r="H37" i="1"/>
  <c r="L37" i="1"/>
  <c r="E37" i="1"/>
  <c r="K36" i="1"/>
  <c r="H36" i="1"/>
  <c r="L36" i="1"/>
  <c r="E36" i="1"/>
  <c r="K35" i="1"/>
  <c r="H35" i="1"/>
  <c r="L35" i="1"/>
  <c r="E35" i="1"/>
  <c r="K34" i="1"/>
  <c r="H34" i="1"/>
  <c r="L34" i="1"/>
  <c r="E34" i="1"/>
  <c r="K33" i="1"/>
  <c r="H33" i="1"/>
  <c r="L33" i="1"/>
  <c r="E33" i="1"/>
  <c r="K32" i="1"/>
  <c r="H32" i="1"/>
  <c r="L32" i="1"/>
  <c r="E32" i="1"/>
  <c r="K31" i="1"/>
  <c r="H31" i="1"/>
  <c r="L31" i="1"/>
  <c r="E31" i="1"/>
  <c r="K30" i="1"/>
  <c r="H30" i="1"/>
  <c r="L30" i="1"/>
  <c r="E30" i="1"/>
  <c r="K29" i="1"/>
  <c r="H29" i="1"/>
  <c r="L29" i="1"/>
  <c r="E29" i="1"/>
  <c r="K28" i="1"/>
  <c r="H28" i="1"/>
  <c r="L28" i="1"/>
  <c r="E28" i="1"/>
  <c r="K27" i="1"/>
  <c r="H27" i="1"/>
  <c r="L27" i="1"/>
  <c r="E27" i="1"/>
  <c r="K26" i="1"/>
  <c r="H26" i="1"/>
  <c r="L26" i="1"/>
  <c r="E26" i="1"/>
  <c r="K25" i="1"/>
  <c r="H25" i="1"/>
  <c r="L25" i="1"/>
  <c r="E25" i="1"/>
  <c r="K11" i="1"/>
  <c r="L11" i="1"/>
  <c r="K12" i="1"/>
  <c r="E14" i="1"/>
  <c r="H14" i="1"/>
  <c r="K14" i="1"/>
  <c r="H15" i="1"/>
  <c r="K15" i="1"/>
  <c r="L15" i="1"/>
  <c r="E17" i="1"/>
  <c r="H17" i="1"/>
  <c r="K17" i="1"/>
  <c r="H18" i="1"/>
  <c r="K18" i="1"/>
  <c r="E19" i="1"/>
  <c r="H19" i="1"/>
  <c r="K19" i="1"/>
  <c r="L19" i="1"/>
  <c r="E20" i="1"/>
  <c r="H20" i="1"/>
  <c r="K20" i="1"/>
  <c r="L20" i="1"/>
  <c r="E21" i="1"/>
  <c r="H21" i="1"/>
  <c r="K21" i="1"/>
  <c r="E22" i="1"/>
  <c r="H22" i="1"/>
  <c r="K22" i="1"/>
  <c r="E23" i="1"/>
  <c r="H23" i="1"/>
  <c r="K23" i="1"/>
  <c r="L23" i="1"/>
  <c r="E24" i="1"/>
  <c r="H24" i="1"/>
  <c r="K24" i="1"/>
  <c r="L24" i="1"/>
  <c r="L21" i="1"/>
  <c r="L17" i="1"/>
  <c r="L12" i="1"/>
  <c r="L22" i="1"/>
  <c r="L18" i="1"/>
  <c r="L14" i="1"/>
  <c r="K42" i="1"/>
  <c r="H42" i="1"/>
  <c r="L42" i="1"/>
</calcChain>
</file>

<file path=xl/sharedStrings.xml><?xml version="1.0" encoding="utf-8"?>
<sst xmlns="http://schemas.openxmlformats.org/spreadsheetml/2006/main" count="242" uniqueCount="34">
  <si>
    <t>Día</t>
  </si>
  <si>
    <t>Hora de Salida</t>
  </si>
  <si>
    <t>Horas Trabajadas</t>
  </si>
  <si>
    <t>Salida Descanso</t>
  </si>
  <si>
    <t>Regreso Descanso</t>
  </si>
  <si>
    <t>Total</t>
  </si>
  <si>
    <t>Hora de Entrada</t>
  </si>
  <si>
    <t>Total Descanso</t>
  </si>
  <si>
    <t>Total Horas menos Descanso</t>
  </si>
  <si>
    <t>Mes</t>
  </si>
  <si>
    <t>Turno</t>
  </si>
  <si>
    <t>Centro Trabajo</t>
  </si>
  <si>
    <t>TRABAJADOR</t>
  </si>
  <si>
    <t xml:space="preserve">CENTRO DETRABAJO: </t>
  </si>
  <si>
    <t>Nombre:</t>
  </si>
  <si>
    <t>NIF:</t>
  </si>
  <si>
    <t>Mes y año:</t>
  </si>
  <si>
    <t>EMPRESA:</t>
  </si>
  <si>
    <t xml:space="preserve">     </t>
  </si>
  <si>
    <t>49003391M</t>
  </si>
  <si>
    <t>Estefanía Correa Maxedo</t>
  </si>
  <si>
    <t>MOMENTUM task force</t>
  </si>
  <si>
    <t xml:space="preserve">IKEA ALCORCÓN </t>
  </si>
  <si>
    <t>CEE:</t>
  </si>
  <si>
    <t>Firma empresa:</t>
  </si>
  <si>
    <t>Firma/sello empresa:</t>
  </si>
  <si>
    <t>CCE:</t>
  </si>
  <si>
    <t>DATOS TRABAJADOR</t>
  </si>
  <si>
    <t>NOMBRE</t>
  </si>
  <si>
    <t>CIF</t>
  </si>
  <si>
    <t>NSS</t>
  </si>
  <si>
    <t>PERIODO</t>
  </si>
  <si>
    <t>C.B. ACOSTA ACOSTA Hostelería y Restauración</t>
  </si>
  <si>
    <t xml:space="preserve">Bar Cafetería LA CABAÑA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</si>
</sst>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h:mm:ss;@"/>
    <numFmt numFmtId="165" formatCode="[h]:mm"/>
    <numFmt numFmtId="166" formatCode="[h]&quot;h&quot;\ mm&quot;m&quot;"/>
    <numFmt numFmtId="167" formatCode="dd\-mm\-yy;@"/>
  </numFmts>
  <fonts count="7" x14ac:knownFonts="1">
    <font>
      <sz val="11"/>
      <color theme="1"/>
      <name val="Calibri"/>
      <family val="2"/>
      <scheme val="minor"/>
    </font>
    <font>
      <sz val="11"/>
      <color theme="1"/>
      <name val="Calibri"/>
      <family val="2"/>
      <scheme val="minor"/>
    </font>
    <font>
      <b/>
      <sz val="11"/>
      <color theme="1"/>
      <name val="Calibri"/>
      <family val="2"/>
      <scheme val="minor"/>
    </font>
    <font>
      <sz val="14"/>
      <color theme="1"/>
      <name val="Calibri"/>
      <family val="2"/>
      <scheme val="minor"/>
    </font>
    <font>
      <b/>
      <sz val="14"/>
      <color theme="0"/>
      <name val="Calibri"/>
      <family val="2"/>
      <scheme val="minor"/>
    </font>
    <font>
      <sz val="6"/>
      <name val="Yu Gothic"/>
      <family val="2"/>
      <charset val="128"/>
    </font>
    <font>
      <sz val="11"/>
      <color theme="0"/>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0" tint="-0.749992370372631"/>
        <bgColor indexed="64"/>
      </patternFill>
    </fill>
  </fills>
  <borders count="4">
    <border>
      <left/>
      <right/>
      <top/>
      <bottom/>
      <diagonal/>
    </border>
    <border>
      <left style="thin">
        <color theme="6" tint="0.39997558519241921"/>
      </left>
      <right/>
      <top style="double">
        <color theme="6"/>
      </top>
      <bottom style="thin">
        <color theme="6" tint="0.39997558519241921"/>
      </bottom>
      <diagonal/>
    </border>
    <border>
      <left/>
      <right/>
      <top style="double">
        <color theme="6"/>
      </top>
      <bottom style="thin">
        <color theme="6" tint="0.39997558519241921"/>
      </bottom>
      <diagonal/>
    </border>
    <border>
      <left/>
      <right style="thin">
        <color theme="6" tint="0.39997558519241921"/>
      </right>
      <top style="double">
        <color theme="6"/>
      </top>
      <bottom style="thin">
        <color theme="6" tint="0.39997558519241921"/>
      </bottom>
      <diagonal/>
    </border>
  </borders>
  <cellStyleXfs count="2">
    <xf numFmtId="0" fontId="0" fillId="0" borderId="0"/>
    <xf numFmtId="43" fontId="1" fillId="0" borderId="0" applyFont="0" applyFill="0" applyBorder="0" applyAlignment="0" applyProtection="0"/>
  </cellStyleXfs>
  <cellXfs count="50">
    <xf numFmtId="0" fontId="0" fillId="0" borderId="0" xfId="0"/>
    <xf numFmtId="165" fontId="2" fillId="2" borderId="0" xfId="1" applyNumberFormat="1" applyFont="1" applyFill="1" applyAlignment="1">
      <alignment horizontal="right"/>
    </xf>
    <xf numFmtId="165" fontId="2" fillId="3" borderId="0" xfId="1" applyNumberFormat="1" applyFont="1" applyFill="1" applyAlignment="1">
      <alignment horizontal="right"/>
    </xf>
    <xf numFmtId="164" fontId="0" fillId="0" borderId="0" xfId="0" applyNumberFormat="1" applyAlignment="1">
      <alignment horizontal="right"/>
    </xf>
    <xf numFmtId="0" fontId="0" fillId="0" borderId="0" xfId="0" applyAlignment="1">
      <alignment horizontal="right"/>
    </xf>
    <xf numFmtId="0" fontId="3" fillId="0" borderId="0" xfId="0" applyFont="1" applyAlignment="1">
      <alignment horizontal="center" vertical="center" wrapText="1"/>
    </xf>
    <xf numFmtId="14" fontId="0" fillId="0" borderId="0" xfId="0" applyNumberFormat="1" applyAlignment="1">
      <alignment horizontal="right"/>
    </xf>
    <xf numFmtId="164" fontId="3" fillId="0" borderId="0" xfId="0" applyNumberFormat="1" applyFont="1" applyAlignment="1">
      <alignment horizontal="center" vertical="center" wrapText="1"/>
    </xf>
    <xf numFmtId="0" fontId="3" fillId="0" borderId="0" xfId="0" applyFont="1" applyAlignment="1" applyProtection="1">
      <alignment horizontal="center" vertical="center" wrapText="1"/>
      <protection locked="0"/>
    </xf>
    <xf numFmtId="14" fontId="0" fillId="0" borderId="0" xfId="0" applyNumberFormat="1" applyAlignment="1" applyProtection="1">
      <alignment horizontal="right"/>
      <protection locked="0"/>
    </xf>
    <xf numFmtId="0" fontId="0" fillId="0" borderId="0" xfId="0" applyAlignment="1" applyProtection="1">
      <alignment horizontal="right"/>
      <protection locked="0"/>
    </xf>
    <xf numFmtId="164" fontId="3" fillId="0" borderId="0" xfId="0" applyNumberFormat="1" applyFont="1" applyAlignment="1" applyProtection="1">
      <alignment horizontal="center" vertical="center" wrapText="1"/>
      <protection locked="0"/>
    </xf>
    <xf numFmtId="165" fontId="0" fillId="0" borderId="0" xfId="1" applyNumberFormat="1" applyFont="1" applyAlignment="1" applyProtection="1">
      <alignment horizontal="right"/>
      <protection locked="0"/>
    </xf>
    <xf numFmtId="164" fontId="0" fillId="0" borderId="0" xfId="0" applyNumberFormat="1" applyAlignment="1" applyProtection="1">
      <alignment horizontal="right"/>
      <protection locked="0"/>
    </xf>
    <xf numFmtId="0" fontId="4" fillId="4" borderId="1"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NumberFormat="1" applyFont="1" applyFill="1" applyBorder="1" applyAlignment="1">
      <alignment horizontal="right" vertical="center"/>
    </xf>
    <xf numFmtId="166" fontId="4" fillId="4" borderId="2" xfId="0" applyNumberFormat="1" applyFont="1" applyFill="1" applyBorder="1" applyAlignment="1">
      <alignment horizontal="right" vertical="center"/>
    </xf>
    <xf numFmtId="166" fontId="4" fillId="4" borderId="3" xfId="0" applyNumberFormat="1" applyFont="1" applyFill="1" applyBorder="1" applyAlignment="1">
      <alignment horizontal="right" vertical="center"/>
    </xf>
    <xf numFmtId="0" fontId="0" fillId="0" borderId="0" xfId="0" applyAlignment="1" applyProtection="1">
      <alignment horizontal="left"/>
      <protection locked="0"/>
    </xf>
    <xf numFmtId="164" fontId="0" fillId="0" borderId="0" xfId="0" applyNumberFormat="1" applyAlignment="1">
      <alignment horizontal="left"/>
    </xf>
    <xf numFmtId="164" fontId="0" fillId="0" borderId="0" xfId="0" applyNumberFormat="1" applyAlignment="1"/>
    <xf numFmtId="0" fontId="0" fillId="0" borderId="0" xfId="0" applyAlignment="1" applyProtection="1">
      <protection locked="0"/>
    </xf>
    <xf numFmtId="0" fontId="0" fillId="0" borderId="0" xfId="0" applyAlignment="1"/>
    <xf numFmtId="0" fontId="0" fillId="0" borderId="0" xfId="0" applyAlignment="1">
      <alignment horizontal="left"/>
    </xf>
    <xf numFmtId="0" fontId="0" fillId="0" borderId="0" xfId="0" applyNumberFormat="1" applyAlignment="1">
      <alignment horizontal="right"/>
    </xf>
    <xf numFmtId="17" fontId="0" fillId="0" borderId="0" xfId="0" applyNumberFormat="1" applyAlignment="1" applyProtection="1">
      <alignment horizontal="right"/>
      <protection locked="0"/>
    </xf>
    <xf numFmtId="167" fontId="0" fillId="0" borderId="0" xfId="0" applyNumberFormat="1" applyAlignment="1" applyProtection="1">
      <alignment horizontal="center" vertical="center"/>
      <protection locked="0"/>
    </xf>
    <xf numFmtId="164" fontId="0" fillId="0" borderId="0" xfId="0" applyNumberFormat="1" applyAlignment="1" applyProtection="1">
      <alignment horizontal="center" vertical="center"/>
      <protection locked="0"/>
    </xf>
    <xf numFmtId="165" fontId="0" fillId="0" borderId="0" xfId="1" applyNumberFormat="1" applyFont="1" applyAlignment="1" applyProtection="1">
      <alignment horizontal="center" vertical="center"/>
      <protection locked="0"/>
    </xf>
    <xf numFmtId="0" fontId="4" fillId="4" borderId="2" xfId="0" applyNumberFormat="1" applyFont="1" applyFill="1" applyBorder="1" applyAlignment="1">
      <alignment horizontal="center" vertical="center"/>
    </xf>
    <xf numFmtId="0" fontId="0" fillId="0" borderId="0" xfId="0" applyAlignment="1" applyProtection="1">
      <alignment horizontal="center" vertical="center"/>
      <protection locked="0"/>
    </xf>
    <xf numFmtId="164" fontId="0" fillId="0" borderId="0" xfId="0" applyNumberFormat="1" applyAlignment="1">
      <alignment horizontal="center" vertical="center"/>
    </xf>
    <xf numFmtId="165" fontId="2" fillId="2" borderId="0" xfId="1" applyNumberFormat="1" applyFont="1" applyFill="1" applyAlignment="1">
      <alignment horizontal="center" vertical="center"/>
    </xf>
    <xf numFmtId="166" fontId="4" fillId="4" borderId="2" xfId="0" applyNumberFormat="1" applyFont="1" applyFill="1" applyBorder="1" applyAlignment="1">
      <alignment horizontal="center" vertical="center"/>
    </xf>
    <xf numFmtId="0" fontId="0" fillId="0" borderId="0" xfId="0" applyAlignment="1">
      <alignment horizontal="center" vertical="center"/>
    </xf>
    <xf numFmtId="165" fontId="2" fillId="3" borderId="0" xfId="1" applyNumberFormat="1" applyFont="1" applyFill="1" applyAlignment="1">
      <alignment horizontal="center" vertical="center"/>
    </xf>
    <xf numFmtId="0" fontId="4" fillId="4" borderId="2" xfId="0" applyFont="1" applyFill="1" applyBorder="1" applyAlignment="1">
      <alignment horizontal="center" vertical="center"/>
    </xf>
    <xf numFmtId="166" fontId="4" fillId="4" borderId="3" xfId="0" applyNumberFormat="1" applyFont="1" applyFill="1" applyBorder="1" applyAlignment="1">
      <alignment horizontal="center" vertical="center"/>
    </xf>
    <xf numFmtId="14" fontId="0" fillId="0" borderId="0" xfId="0" applyNumberFormat="1" applyAlignment="1">
      <alignment horizontal="center" vertical="center"/>
    </xf>
    <xf numFmtId="0" fontId="0" fillId="0" borderId="0" xfId="0" applyAlignment="1">
      <alignment horizontal="left" vertical="center"/>
    </xf>
    <xf numFmtId="0" fontId="4" fillId="4" borderId="1" xfId="0" applyFont="1" applyFill="1" applyBorder="1" applyAlignment="1">
      <alignment horizontal="center" vertical="center"/>
    </xf>
    <xf numFmtId="0" fontId="0" fillId="6" borderId="0" xfId="0" applyFill="1" applyAlignment="1" applyProtection="1">
      <alignment horizontal="center" vertical="center"/>
      <protection locked="0"/>
    </xf>
    <xf numFmtId="0" fontId="6" fillId="6" borderId="0" xfId="0" applyFont="1" applyFill="1" applyAlignment="1" applyProtection="1">
      <alignment horizontal="left" vertical="center"/>
      <protection locked="0"/>
    </xf>
    <xf numFmtId="17" fontId="6" fillId="6" borderId="0" xfId="0" applyNumberFormat="1" applyFont="1" applyFill="1" applyAlignment="1" applyProtection="1">
      <alignment horizontal="left" vertical="center"/>
      <protection locked="0"/>
    </xf>
    <xf numFmtId="164" fontId="0" fillId="5" borderId="0" xfId="0" applyNumberFormat="1" applyFill="1" applyAlignment="1">
      <alignment horizontal="left" vertical="center"/>
    </xf>
    <xf numFmtId="164" fontId="0" fillId="0" borderId="0" xfId="0" applyNumberFormat="1" applyAlignment="1" applyProtection="1">
      <alignment horizontal="left" vertical="center"/>
      <protection locked="0"/>
    </xf>
    <xf numFmtId="0" fontId="0" fillId="0" borderId="0" xfId="0" applyNumberFormat="1" applyAlignment="1">
      <alignment horizontal="center" vertical="center"/>
    </xf>
    <xf numFmtId="0" fontId="0" fillId="0" borderId="0" xfId="0" applyAlignment="1">
      <alignment horizontal="left"/>
    </xf>
    <xf numFmtId="164" fontId="0" fillId="0" borderId="0" xfId="0" applyNumberFormat="1" applyAlignment="1">
      <alignment horizontal="center" vertical="center"/>
    </xf>
  </cellXfs>
  <cellStyles count="2">
    <cellStyle name="Millares" xfId="1" builtinId="3"/>
    <cellStyle name="Normal" xfId="0" builtinId="0"/>
  </cellStyles>
  <dxfs count="260">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right"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right"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right"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right"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right"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right"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right"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right"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right"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right"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right" vertical="bottom"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right"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right"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center" vertical="center" textRotation="0" wrapText="0" indent="0" justifyLastLine="0" shrinkToFit="0" readingOrder="0"/>
      <border diagonalUp="0" diagonalDown="0" outline="0">
        <left/>
        <right style="thin">
          <color theme="6" tint="0.39997558519241921"/>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center"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center"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center"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center" vertical="center" textRotation="0" wrapText="0" indent="0" justifyLastLine="0" shrinkToFit="0" readingOrder="0"/>
      <border diagonalUp="0" diagonalDown="0" outline="0">
        <left/>
        <right/>
        <top style="double">
          <color theme="6"/>
        </top>
        <bottom style="thin">
          <color theme="6" tint="0.39997558519241921"/>
        </bottom>
      </border>
    </dxf>
    <dxf>
      <font>
        <b/>
        <i val="0"/>
        <strike val="0"/>
        <condense val="0"/>
        <extend val="0"/>
        <outline val="0"/>
        <shadow val="0"/>
        <u val="none"/>
        <vertAlign val="baseline"/>
        <sz val="11"/>
        <color theme="1"/>
        <name val="Calibri"/>
        <family val="2"/>
        <scheme val="minor"/>
      </font>
      <numFmt numFmtId="165" formatCode="[h]:mm"/>
      <fill>
        <patternFill patternType="solid">
          <fgColor indexed="64"/>
          <bgColor theme="5"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center"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numFmt numFmtId="0" formatCode="General"/>
      <fill>
        <patternFill patternType="solid">
          <fgColor indexed="64"/>
          <bgColor theme="5" tint="-0.249977111117893"/>
        </patternFill>
      </fill>
      <alignment horizontal="center" vertical="center" textRotation="0" wrapText="0" indent="0" justifyLastLine="0" shrinkToFit="0" readingOrder="0"/>
      <border diagonalUp="0" diagonalDown="0" outline="0">
        <left/>
        <right/>
        <top style="double">
          <color theme="6"/>
        </top>
        <bottom style="thin">
          <color theme="6" tint="0.39997558519241921"/>
        </bottom>
      </border>
    </dxf>
    <dxf>
      <font>
        <b val="0"/>
        <i val="0"/>
        <strike val="0"/>
        <condense val="0"/>
        <extend val="0"/>
        <outline val="0"/>
        <shadow val="0"/>
        <u val="none"/>
        <vertAlign val="baseline"/>
        <sz val="11"/>
        <color theme="1"/>
        <name val="Calibri"/>
        <family val="2"/>
        <scheme val="minor"/>
      </font>
      <numFmt numFmtId="165" formatCode="[h]:mm"/>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center"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center" vertical="center" textRotation="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center"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center" vertical="center"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center" vertical="center" textRotation="0" wrapText="0" indent="0" justifyLastLine="0" shrinkToFit="0" readingOrder="0"/>
      <border diagonalUp="0" diagonalDown="0" outline="0">
        <left/>
        <right/>
        <top style="double">
          <color theme="6"/>
        </top>
        <bottom style="thin">
          <color theme="6" tint="0.39997558519241921"/>
        </bottom>
      </border>
    </dxf>
    <dxf>
      <numFmt numFmtId="19" formatCode="dd/mm/yyyy"/>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0"/>
        <name val="Calibri"/>
        <family val="2"/>
        <scheme val="minor"/>
      </font>
      <fill>
        <patternFill patternType="solid">
          <fgColor indexed="64"/>
          <bgColor theme="5" tint="-0.249977111117893"/>
        </patternFill>
      </fill>
      <alignment horizontal="center" vertical="center" textRotation="0" wrapText="0" indent="0" justifyLastLine="0" shrinkToFit="0" readingOrder="0"/>
      <border diagonalUp="0" diagonalDown="0" outline="0">
        <left style="thin">
          <color theme="6" tint="0.39997558519241921"/>
        </left>
        <right/>
        <top style="double">
          <color theme="6"/>
        </top>
        <bottom style="thin">
          <color theme="6" tint="0.39997558519241921"/>
        </bottom>
      </border>
    </dxf>
    <dxf>
      <numFmt numFmtId="19" formatCode="dd/mm/yyyy"/>
      <alignment horizontal="center" vertical="center" textRotation="0" indent="0" justifyLastLine="0" shrinkToFit="0" readingOrder="0"/>
      <protection locked="0" hidden="0"/>
    </dxf>
    <dxf>
      <border outline="0">
        <top style="double">
          <color theme="6"/>
        </top>
      </border>
    </dxf>
    <dxf>
      <font>
        <b/>
        <i val="0"/>
        <strike val="0"/>
        <condense val="0"/>
        <extend val="0"/>
        <outline val="0"/>
        <shadow val="0"/>
        <u val="none"/>
        <vertAlign val="baseline"/>
        <sz val="14"/>
        <color theme="0"/>
        <name val="Calibri"/>
        <family val="2"/>
        <scheme val="minor"/>
      </font>
      <numFmt numFmtId="166" formatCode="[h]&quot;h&quot;\ mm&quot;m&quot;"/>
      <fill>
        <patternFill patternType="solid">
          <fgColor indexed="64"/>
          <bgColor theme="5" tint="-0.249977111117893"/>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h:mm:ss;@"/>
      <alignment horizontal="right" textRotation="0" indent="0" justifyLastLine="0" shrinkToFit="0" readingOrder="0"/>
    </dxf>
    <dxf>
      <font>
        <strike val="0"/>
        <outline val="0"/>
        <shadow val="0"/>
        <u val="none"/>
        <vertAlign val="baseline"/>
        <sz val="14"/>
        <color theme="1"/>
        <name val="Calibri"/>
        <family val="2"/>
        <scheme val="minor"/>
      </font>
      <numFmt numFmtId="164" formatCode="h:mm:ss;@"/>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 /><Relationship Id="rId13" Type="http://schemas.openxmlformats.org/officeDocument/2006/relationships/sharedStrings" Target="sharedStrings.xml" /><Relationship Id="rId3" Type="http://schemas.openxmlformats.org/officeDocument/2006/relationships/worksheet" Target="worksheets/sheet3.xml" /><Relationship Id="rId7" Type="http://schemas.openxmlformats.org/officeDocument/2006/relationships/worksheet" Target="worksheets/sheet7.xml" /><Relationship Id="rId12" Type="http://schemas.openxmlformats.org/officeDocument/2006/relationships/styles" Target="styles.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theme" Target="theme/theme1.xml" /><Relationship Id="rId5" Type="http://schemas.openxmlformats.org/officeDocument/2006/relationships/worksheet" Target="worksheets/sheet5.xml" /><Relationship Id="rId15" Type="http://schemas.openxmlformats.org/officeDocument/2006/relationships/customXml" Target="../customXml/item1.xml" /><Relationship Id="rId10" Type="http://schemas.openxmlformats.org/officeDocument/2006/relationships/worksheet" Target="worksheets/sheet10.xml" /><Relationship Id="rId4" Type="http://schemas.openxmlformats.org/officeDocument/2006/relationships/worksheet" Target="worksheets/sheet4.xml" /><Relationship Id="rId9" Type="http://schemas.openxmlformats.org/officeDocument/2006/relationships/worksheet" Target="worksheets/sheet9.xml" /><Relationship Id="rId14" Type="http://schemas.openxmlformats.org/officeDocument/2006/relationships/calcChain" Target="calcChain.xml" /></Relationships>
</file>

<file path=xl/drawings/drawing1.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59EECEA9-37E0-4DB5-B1B5-E348439D4A16}"/>
            </a:ext>
          </a:extLst>
        </xdr:cNvPr>
        <xdr:cNvSpPr/>
      </xdr:nvSpPr>
      <xdr:spPr>
        <a:xfrm>
          <a:off x="1577474" y="213944"/>
          <a:ext cx="10456173"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6" name="CuadroTexto 3">
          <a:extLst>
            <a:ext uri="{FF2B5EF4-FFF2-40B4-BE49-F238E27FC236}">
              <a16:creationId xmlns:a16="http://schemas.microsoft.com/office/drawing/2014/main" id="{18D0F0D3-FD1F-1B47-976B-C5B6717241F1}"/>
            </a:ext>
          </a:extLst>
        </xdr:cNvPr>
        <xdr:cNvSpPr txBox="1"/>
      </xdr:nvSpPr>
      <xdr:spPr>
        <a:xfrm>
          <a:off x="762000" y="10671810"/>
          <a:ext cx="5019675"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B2EB943B-CB47-5441-A54D-13CABCD93232}"/>
            </a:ext>
          </a:extLst>
        </xdr:cNvPr>
        <xdr:cNvSpPr/>
      </xdr:nvSpPr>
      <xdr:spPr>
        <a:xfrm>
          <a:off x="815486" y="213946"/>
          <a:ext cx="10552643"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3" name="CuadroTexto 3">
          <a:extLst>
            <a:ext uri="{FF2B5EF4-FFF2-40B4-BE49-F238E27FC236}">
              <a16:creationId xmlns:a16="http://schemas.microsoft.com/office/drawing/2014/main" id="{17839029-1C96-8D4B-88FE-D6D5075DF543}"/>
            </a:ext>
          </a:extLst>
        </xdr:cNvPr>
        <xdr:cNvSpPr txBox="1"/>
      </xdr:nvSpPr>
      <xdr:spPr>
        <a:xfrm>
          <a:off x="762000" y="10572750"/>
          <a:ext cx="4973533"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DB281865-C966-F64A-836C-01B316054545}"/>
            </a:ext>
          </a:extLst>
        </xdr:cNvPr>
        <xdr:cNvSpPr/>
      </xdr:nvSpPr>
      <xdr:spPr>
        <a:xfrm>
          <a:off x="815486" y="213946"/>
          <a:ext cx="10552643"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3" name="CuadroTexto 3">
          <a:extLst>
            <a:ext uri="{FF2B5EF4-FFF2-40B4-BE49-F238E27FC236}">
              <a16:creationId xmlns:a16="http://schemas.microsoft.com/office/drawing/2014/main" id="{1449E794-21B0-6041-BC1B-F222CCDFA6CA}"/>
            </a:ext>
          </a:extLst>
        </xdr:cNvPr>
        <xdr:cNvSpPr txBox="1"/>
      </xdr:nvSpPr>
      <xdr:spPr>
        <a:xfrm>
          <a:off x="762000" y="10572750"/>
          <a:ext cx="4973533"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1A4096D4-EC82-A14D-8819-40975E9F440B}"/>
            </a:ext>
          </a:extLst>
        </xdr:cNvPr>
        <xdr:cNvSpPr/>
      </xdr:nvSpPr>
      <xdr:spPr>
        <a:xfrm>
          <a:off x="815486" y="213946"/>
          <a:ext cx="10552643"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3" name="CuadroTexto 3">
          <a:extLst>
            <a:ext uri="{FF2B5EF4-FFF2-40B4-BE49-F238E27FC236}">
              <a16:creationId xmlns:a16="http://schemas.microsoft.com/office/drawing/2014/main" id="{0B47A7F8-6AB1-664F-9AF7-75C0C1457B51}"/>
            </a:ext>
          </a:extLst>
        </xdr:cNvPr>
        <xdr:cNvSpPr txBox="1"/>
      </xdr:nvSpPr>
      <xdr:spPr>
        <a:xfrm>
          <a:off x="762000" y="10572750"/>
          <a:ext cx="4973533"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9C826606-B667-E34A-B545-4F0B5B1EB3C9}"/>
            </a:ext>
          </a:extLst>
        </xdr:cNvPr>
        <xdr:cNvSpPr/>
      </xdr:nvSpPr>
      <xdr:spPr>
        <a:xfrm>
          <a:off x="815486" y="213946"/>
          <a:ext cx="10552643"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3" name="CuadroTexto 3">
          <a:extLst>
            <a:ext uri="{FF2B5EF4-FFF2-40B4-BE49-F238E27FC236}">
              <a16:creationId xmlns:a16="http://schemas.microsoft.com/office/drawing/2014/main" id="{3C3D3BB0-4C6B-F24A-98E6-639357F2719F}"/>
            </a:ext>
          </a:extLst>
        </xdr:cNvPr>
        <xdr:cNvSpPr txBox="1"/>
      </xdr:nvSpPr>
      <xdr:spPr>
        <a:xfrm>
          <a:off x="762000" y="10572750"/>
          <a:ext cx="4973533"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8F56779B-3845-CD45-8D50-3B4D5519FDAA}"/>
            </a:ext>
          </a:extLst>
        </xdr:cNvPr>
        <xdr:cNvSpPr/>
      </xdr:nvSpPr>
      <xdr:spPr>
        <a:xfrm>
          <a:off x="815486" y="213946"/>
          <a:ext cx="10552643"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3" name="CuadroTexto 3">
          <a:extLst>
            <a:ext uri="{FF2B5EF4-FFF2-40B4-BE49-F238E27FC236}">
              <a16:creationId xmlns:a16="http://schemas.microsoft.com/office/drawing/2014/main" id="{B1E56EB6-D4BD-F741-8A80-D6B9D0AECD01}"/>
            </a:ext>
          </a:extLst>
        </xdr:cNvPr>
        <xdr:cNvSpPr txBox="1"/>
      </xdr:nvSpPr>
      <xdr:spPr>
        <a:xfrm>
          <a:off x="762000" y="10572750"/>
          <a:ext cx="4973533"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356E0877-C3C8-AD47-9A47-BF5C47856E0A}"/>
            </a:ext>
          </a:extLst>
        </xdr:cNvPr>
        <xdr:cNvSpPr/>
      </xdr:nvSpPr>
      <xdr:spPr>
        <a:xfrm>
          <a:off x="815486" y="213946"/>
          <a:ext cx="10552643"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3" name="CuadroTexto 3">
          <a:extLst>
            <a:ext uri="{FF2B5EF4-FFF2-40B4-BE49-F238E27FC236}">
              <a16:creationId xmlns:a16="http://schemas.microsoft.com/office/drawing/2014/main" id="{2456F8D1-31C5-FB41-9C80-E0F2C626F2B0}"/>
            </a:ext>
          </a:extLst>
        </xdr:cNvPr>
        <xdr:cNvSpPr txBox="1"/>
      </xdr:nvSpPr>
      <xdr:spPr>
        <a:xfrm>
          <a:off x="762000" y="10572750"/>
          <a:ext cx="4973533"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F9C793AF-483B-054B-AA0C-8D1632E02059}"/>
            </a:ext>
          </a:extLst>
        </xdr:cNvPr>
        <xdr:cNvSpPr/>
      </xdr:nvSpPr>
      <xdr:spPr>
        <a:xfrm>
          <a:off x="815486" y="213946"/>
          <a:ext cx="10552643"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3" name="CuadroTexto 3">
          <a:extLst>
            <a:ext uri="{FF2B5EF4-FFF2-40B4-BE49-F238E27FC236}">
              <a16:creationId xmlns:a16="http://schemas.microsoft.com/office/drawing/2014/main" id="{F8F23ACB-1156-EF41-A797-EEAFB8351FF3}"/>
            </a:ext>
          </a:extLst>
        </xdr:cNvPr>
        <xdr:cNvSpPr txBox="1"/>
      </xdr:nvSpPr>
      <xdr:spPr>
        <a:xfrm>
          <a:off x="762000" y="10572750"/>
          <a:ext cx="4973533"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BB9BB882-42D0-BD41-89E5-9306BA529AE8}"/>
            </a:ext>
          </a:extLst>
        </xdr:cNvPr>
        <xdr:cNvSpPr/>
      </xdr:nvSpPr>
      <xdr:spPr>
        <a:xfrm>
          <a:off x="815486" y="213946"/>
          <a:ext cx="10594975"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3" name="CuadroTexto 3">
          <a:extLst>
            <a:ext uri="{FF2B5EF4-FFF2-40B4-BE49-F238E27FC236}">
              <a16:creationId xmlns:a16="http://schemas.microsoft.com/office/drawing/2014/main" id="{F59FA4F4-5B1C-0246-8930-221312160EE4}"/>
            </a:ext>
          </a:extLst>
        </xdr:cNvPr>
        <xdr:cNvSpPr txBox="1"/>
      </xdr:nvSpPr>
      <xdr:spPr>
        <a:xfrm>
          <a:off x="762000" y="10572750"/>
          <a:ext cx="5015865"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53486</xdr:colOff>
      <xdr:row>1</xdr:row>
      <xdr:rowOff>23446</xdr:rowOff>
    </xdr:from>
    <xdr:to>
      <xdr:col>12</xdr:col>
      <xdr:colOff>43961</xdr:colOff>
      <xdr:row>2</xdr:row>
      <xdr:rowOff>130503</xdr:rowOff>
    </xdr:to>
    <xdr:sp macro="" textlink="">
      <xdr:nvSpPr>
        <xdr:cNvPr id="2" name="Rectángulo 1">
          <a:extLst>
            <a:ext uri="{FF2B5EF4-FFF2-40B4-BE49-F238E27FC236}">
              <a16:creationId xmlns:a16="http://schemas.microsoft.com/office/drawing/2014/main" id="{443AC101-5ABA-374C-B8B2-12C63CFC53D2}"/>
            </a:ext>
          </a:extLst>
        </xdr:cNvPr>
        <xdr:cNvSpPr/>
      </xdr:nvSpPr>
      <xdr:spPr>
        <a:xfrm>
          <a:off x="815486" y="213946"/>
          <a:ext cx="10552643" cy="297557"/>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S" sz="2000" b="1"/>
            <a:t>REGISTRO DIARIO DE JORNADA  DE TRABAJADORES </a:t>
          </a:r>
        </a:p>
      </xdr:txBody>
    </xdr:sp>
    <xdr:clientData/>
  </xdr:twoCellAnchor>
  <xdr:twoCellAnchor>
    <xdr:from>
      <xdr:col>1</xdr:col>
      <xdr:colOff>0</xdr:colOff>
      <xdr:row>54</xdr:row>
      <xdr:rowOff>0</xdr:rowOff>
    </xdr:from>
    <xdr:to>
      <xdr:col>6</xdr:col>
      <xdr:colOff>634365</xdr:colOff>
      <xdr:row>59</xdr:row>
      <xdr:rowOff>87277</xdr:rowOff>
    </xdr:to>
    <xdr:sp macro="" textlink="">
      <xdr:nvSpPr>
        <xdr:cNvPr id="3" name="CuadroTexto 3">
          <a:extLst>
            <a:ext uri="{FF2B5EF4-FFF2-40B4-BE49-F238E27FC236}">
              <a16:creationId xmlns:a16="http://schemas.microsoft.com/office/drawing/2014/main" id="{121E4B4C-8B6D-564F-AFB5-340EA7AE2650}"/>
            </a:ext>
          </a:extLst>
        </xdr:cNvPr>
        <xdr:cNvSpPr txBox="1"/>
      </xdr:nvSpPr>
      <xdr:spPr>
        <a:xfrm>
          <a:off x="762000" y="10572750"/>
          <a:ext cx="4973533" cy="1039777"/>
        </a:xfrm>
        <a:prstGeom prst="rect">
          <a:avLst/>
        </a:prstGeom>
        <a:solidFill>
          <a:prstClr val="white"/>
        </a:solidFill>
        <a:ln>
          <a:solidFill>
            <a:schemeClr val="bg1"/>
          </a:solidFill>
        </a:ln>
      </xdr:spPr>
      <xdr:txBody>
        <a:bodyPr wrap="square" rtlCol="0" anchor="t"/>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r>
            <a:rPr lang="es-ES" sz="800"/>
            <a:t>Registro realizado en cumplimiento de la letra h) del artículo 1 del R.D. Ley 16/2013, de 20 de diciembre por el que se modifica el artículo 12.5 del E.T., por el que se establece que “La jornada de los trabajadores a tiempo parcial se registrara ría a día y se totalizara mensualmente, entregando copia al trabajador, junto con el recibo de salarios, del resumen de todas las horas realizadas en cada mes, tanto de las ordinarias como de las complementarias en sus distintas modalidades.</a:t>
          </a:r>
        </a:p>
        <a:p>
          <a:pPr algn="l" rtl="0"/>
          <a:r>
            <a:rPr lang="es-ES" sz="800"/>
            <a:t>El empresario deberá conservar los resúmenes mensuales de los registros de jornada durante un periodo mínimo de cuatro años. El incumplimiento empresarial de estas obligaciones de registro tendrá por consecuencia jurídica la de que el contrato se presuma celebrado a jornada completa, salvo prueba en contrario que  acredite el carácter parcial de los servicios.”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BC7B73-1DEC-4EBB-9E02-7EA0913D5AB4}" name="T_Fichar" displayName="T_Fichar" ref="B10:L42" totalsRowCount="1" headerRowDxfId="259" dataDxfId="258" totalsRowDxfId="257" totalsRowBorderDxfId="256">
  <autoFilter ref="B10:L41" xr:uid="{878ABBFD-B7EE-4401-9679-AB91CF1BB644}"/>
  <tableColumns count="11">
    <tableColumn id="1" xr3:uid="{694E2719-7C9B-492B-AD59-31A54AD6C8C3}" name="Día" totalsRowLabel="Total" dataDxfId="255" totalsRowDxfId="254"/>
    <tableColumn id="11" xr3:uid="{547BF689-4145-1A41-9F2A-521EA39B5156}" name="Turno" dataDxfId="253" totalsRowDxfId="252"/>
    <tableColumn id="10" xr3:uid="{4DD48831-B97A-0E49-B827-A70245EBDD86}" name="Centro Trabajo" dataDxfId="251" totalsRowDxfId="250"/>
    <tableColumn id="9" xr3:uid="{05B2077D-3726-4D8A-9947-38A4997AAB7E}" name="Mes" dataDxfId="249" totalsRowDxfId="248">
      <calculatedColumnFormula>IF(T_Fichar[[#This Row],[Día]]="","",UPPER(TEXT(T_Fichar[[#This Row],[Día]],"MMMM")))</calculatedColumnFormula>
    </tableColumn>
    <tableColumn id="2" xr3:uid="{D918E7C8-3B82-459C-8DBE-CF63262B3BC8}" name="Hora de Entrada" dataDxfId="247" totalsRowDxfId="246"/>
    <tableColumn id="3" xr3:uid="{84D29092-F738-41B3-A3A5-2449414B17E6}" name="Hora de Salida" dataDxfId="245" totalsRowDxfId="244"/>
    <tableColumn id="4" xr3:uid="{1229FBBF-92EF-4FA6-9F27-96245E602605}" name="Horas Trabajadas" totalsRowFunction="sum" dataDxfId="243" totalsRowDxfId="242">
      <calculatedColumnFormula>IFERROR(IF(OR(T_Fichar[[#This Row],[Hora de Salida]]="",T_Fichar[[#This Row],[Hora de Entrada]]=""),"",IF(T_Fichar[[#This Row],[Hora de Entrada]]&gt;T_Fichar[[#This Row],[Hora de Salida]],(1-T_Fichar[[#This Row],[Hora de Entrada]])+(T_Fichar[[#This Row],[Hora de Salida]]),T_Fichar[[#This Row],[Hora de Salida]]-T_Fichar[[#This Row],[Hora de Entrada]])),"")</calculatedColumnFormula>
    </tableColumn>
    <tableColumn id="5" xr3:uid="{77D2A1A0-7CDF-436E-98DF-A8F5EC093A17}" name="Salida Descanso" dataDxfId="241" totalsRowDxfId="240"/>
    <tableColumn id="6" xr3:uid="{9EDBEB2F-854A-4684-BE67-D692CD0F2879}" name="Regreso Descanso" dataDxfId="239" totalsRowDxfId="238"/>
    <tableColumn id="7" xr3:uid="{0A4D8E55-F531-4E05-BE15-F7DE41164621}" name="Total Descanso" totalsRowFunction="sum" dataDxfId="237" totalsRowDxfId="236">
      <calculatedColumnFormula>IFERROR(IF(OR(T_Fichar[[#This Row],[Salida Descanso]]="",T_Fichar[[#This Row],[Regreso Descanso]]=""),"",IF(T_Fichar[[#This Row],[Salida Descanso]]&gt;T_Fichar[[#This Row],[Regreso Descanso]],(1-T_Fichar[[#This Row],[Salida Descanso]])+T_Fichar[[#This Row],[Regreso Descanso]],T_Fichar[[#This Row],[Regreso Descanso]]-T_Fichar[[#This Row],[Salida Descanso]])),"")</calculatedColumnFormula>
    </tableColumn>
    <tableColumn id="8" xr3:uid="{51DB9D31-44BC-4428-895E-FE27D4B23231}" name="Total Horas menos Descanso" totalsRowFunction="sum" dataDxfId="235" totalsRowDxfId="234">
      <calculatedColumnFormula>IFERROR(IF(T_Fichar[[#This Row],[Total Descanso]]="",T_Fichar[Horas Trabajadas],T_Fichar[[#This Row],[Horas Trabajadas]]-T_Fichar[[#This Row],[Total Descanso]]),"")</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CEE8CDE-C5D2-D049-B551-9C280FD1594C}" name="T_Fichar345678910" displayName="T_Fichar345678910" ref="B10:L42" totalsRowCount="1" headerRowDxfId="233" dataDxfId="232" totalsRowDxfId="231" totalsRowBorderDxfId="230">
  <autoFilter ref="B10:L41" xr:uid="{878ABBFD-B7EE-4401-9679-AB91CF1BB644}"/>
  <tableColumns count="11">
    <tableColumn id="1" xr3:uid="{50C4EFFE-04EF-4F42-8472-A60B222923B2}" name="Día" totalsRowLabel="Total" dataDxfId="229" totalsRowDxfId="228"/>
    <tableColumn id="11" xr3:uid="{3F49FE27-BF8D-564A-A765-22F95A6517D8}" name="Turno" dataDxfId="227" totalsRowDxfId="226"/>
    <tableColumn id="10" xr3:uid="{363DF789-2740-D544-888C-76F2F7F53222}" name="Centro Trabajo" dataDxfId="225" totalsRowDxfId="224"/>
    <tableColumn id="9" xr3:uid="{6F63FD91-35C1-EF46-B44B-B53FFC5A2985}" name="Mes" dataDxfId="223" totalsRowDxfId="222">
      <calculatedColumnFormula>IF(T_Fichar345678910[[#This Row],[Día]]="","",UPPER(TEXT(T_Fichar345678910[[#This Row],[Día]],"MMMM")))</calculatedColumnFormula>
    </tableColumn>
    <tableColumn id="2" xr3:uid="{F144342F-E181-DE49-BD9C-0D2672F85877}" name="Hora de Entrada" dataDxfId="221" totalsRowDxfId="220"/>
    <tableColumn id="3" xr3:uid="{A36EE0D0-02F0-F64C-B99C-BA672AE45249}" name="Hora de Salida" dataDxfId="219" totalsRowDxfId="218"/>
    <tableColumn id="4" xr3:uid="{071FAE90-F3C7-1447-99FF-CD3387672BB9}" name="Horas Trabajadas" totalsRowFunction="sum" dataDxfId="217" totalsRowDxfId="216">
      <calculatedColumnFormula>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calculatedColumnFormula>
    </tableColumn>
    <tableColumn id="5" xr3:uid="{78353005-F7CA-7341-9230-A0B5873AD095}" name="Salida Descanso" dataDxfId="215" totalsRowDxfId="214"/>
    <tableColumn id="6" xr3:uid="{17647315-4892-AD49-88E1-A4E708E48072}" name="Regreso Descanso" dataDxfId="213" totalsRowDxfId="212"/>
    <tableColumn id="7" xr3:uid="{C76F5E2E-7486-DB4F-A19D-8C7F64E0A77B}" name="Total Descanso" totalsRowFunction="sum" dataDxfId="211" totalsRowDxfId="210">
      <calculatedColumnFormula>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calculatedColumnFormula>
    </tableColumn>
    <tableColumn id="8" xr3:uid="{97F494D5-692C-0345-A8FC-E019469D69EA}" name="Total Horas menos Descanso" totalsRowFunction="sum" dataDxfId="209" totalsRowDxfId="208">
      <calculatedColumnFormula>IFERROR(IF(T_Fichar345678910[[#This Row],[Total Descanso]]="",T_Fichar345678910[Horas Trabajadas],T_Fichar345678910[[#This Row],[Horas Trabajadas]]-T_Fichar345678910[[#This Row],[Total Descanso]]),"")</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0C340F8-4277-1A47-852C-3F842D3AEC2B}" name="T_Fichar3456789" displayName="T_Fichar3456789" ref="B10:L42" totalsRowCount="1" headerRowDxfId="207" dataDxfId="206" totalsRowDxfId="205" totalsRowBorderDxfId="204">
  <autoFilter ref="B10:L41" xr:uid="{878ABBFD-B7EE-4401-9679-AB91CF1BB644}"/>
  <tableColumns count="11">
    <tableColumn id="1" xr3:uid="{E0673773-CEE3-CD42-B955-8C940B036CC0}" name="Día" totalsRowLabel="Total" dataDxfId="203" totalsRowDxfId="202"/>
    <tableColumn id="11" xr3:uid="{B1740754-E8B4-4146-B877-DFB0F4697965}" name="Turno" dataDxfId="201" totalsRowDxfId="200"/>
    <tableColumn id="10" xr3:uid="{EAC408CC-74D0-824D-A591-38B865C72C7C}" name="Centro Trabajo" dataDxfId="199" totalsRowDxfId="198"/>
    <tableColumn id="9" xr3:uid="{74745A43-188E-BC4A-89AC-8F4C3386936A}" name="Mes" dataDxfId="197" totalsRowDxfId="196">
      <calculatedColumnFormula>IF(T_Fichar3456789[[#This Row],[Día]]="","",UPPER(TEXT(T_Fichar3456789[[#This Row],[Día]],"MMMM")))</calculatedColumnFormula>
    </tableColumn>
    <tableColumn id="2" xr3:uid="{59472F91-4928-294C-8DA8-8F97108966D0}" name="Hora de Entrada" dataDxfId="195" totalsRowDxfId="194"/>
    <tableColumn id="3" xr3:uid="{D0413539-4E34-D242-91B2-E3BE02A402D1}" name="Hora de Salida" dataDxfId="193" totalsRowDxfId="192"/>
    <tableColumn id="4" xr3:uid="{E9DE851D-DF4C-C641-8907-074716ECC500}" name="Horas Trabajadas" totalsRowFunction="sum" dataDxfId="191" totalsRowDxfId="190">
      <calculatedColumnFormula>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calculatedColumnFormula>
    </tableColumn>
    <tableColumn id="5" xr3:uid="{7C28C16B-13DE-9F4D-BFD2-A53BB6A8B71E}" name="Salida Descanso" dataDxfId="189" totalsRowDxfId="188"/>
    <tableColumn id="6" xr3:uid="{98CBA384-566C-C741-8F22-6C9889D386AB}" name="Regreso Descanso" dataDxfId="187" totalsRowDxfId="186"/>
    <tableColumn id="7" xr3:uid="{8F7B7547-B43F-6142-AB96-1F4BE6DBC652}" name="Total Descanso" totalsRowFunction="sum" dataDxfId="185" totalsRowDxfId="184">
      <calculatedColumnFormula>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calculatedColumnFormula>
    </tableColumn>
    <tableColumn id="8" xr3:uid="{1D0A672D-3AA5-754C-8CB6-F112C71ECFA4}" name="Total Horas menos Descanso" totalsRowFunction="sum" dataDxfId="183" totalsRowDxfId="182">
      <calculatedColumnFormula>IFERROR(IF(T_Fichar3456789[[#This Row],[Total Descanso]]="",T_Fichar3456789[Horas Trabajadas],T_Fichar3456789[[#This Row],[Horas Trabajadas]]-T_Fichar3456789[[#This Row],[Total Descanso]]),"")</calculatedColumnFormula>
    </tableColumn>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421447-9492-8F4B-83FA-C2F2DF528E79}" name="T_Fichar345678" displayName="T_Fichar345678" ref="B10:L42" totalsRowCount="1" headerRowDxfId="181" dataDxfId="180" totalsRowDxfId="179" totalsRowBorderDxfId="178">
  <autoFilter ref="B10:L41" xr:uid="{878ABBFD-B7EE-4401-9679-AB91CF1BB644}"/>
  <tableColumns count="11">
    <tableColumn id="1" xr3:uid="{632FEFAD-0D8F-9042-862D-7B95EA256F51}" name="Día" totalsRowLabel="Total" dataDxfId="177" totalsRowDxfId="176"/>
    <tableColumn id="11" xr3:uid="{69516B6C-4D24-DC43-931F-5598FA4C59D8}" name="Turno" dataDxfId="175" totalsRowDxfId="174"/>
    <tableColumn id="10" xr3:uid="{C6D94706-3D4D-1041-B4D5-32B386BF111F}" name="Centro Trabajo" dataDxfId="173" totalsRowDxfId="172"/>
    <tableColumn id="9" xr3:uid="{DC29026F-39A1-DE45-A227-4C56555EA8F7}" name="Mes" dataDxfId="171" totalsRowDxfId="170">
      <calculatedColumnFormula>IF(T_Fichar345678[[#This Row],[Día]]="","",UPPER(TEXT(T_Fichar345678[[#This Row],[Día]],"MMMM")))</calculatedColumnFormula>
    </tableColumn>
    <tableColumn id="2" xr3:uid="{AB1D4578-48E6-9249-AC08-B555DEC1D96F}" name="Hora de Entrada" dataDxfId="169" totalsRowDxfId="168"/>
    <tableColumn id="3" xr3:uid="{E1F99934-531B-AB42-A24D-9480B4854A0F}" name="Hora de Salida" dataDxfId="167" totalsRowDxfId="166"/>
    <tableColumn id="4" xr3:uid="{6555B0AD-284F-7547-B582-1B6FE39C6964}" name="Horas Trabajadas" totalsRowFunction="sum" dataDxfId="165" totalsRowDxfId="164">
      <calculatedColumnFormula>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calculatedColumnFormula>
    </tableColumn>
    <tableColumn id="5" xr3:uid="{20F8F96B-0B59-D04B-9085-2EA8E1D33507}" name="Salida Descanso" dataDxfId="163" totalsRowDxfId="162"/>
    <tableColumn id="6" xr3:uid="{B5936A3C-3E3F-3948-81AF-97B20A35D09C}" name="Regreso Descanso" dataDxfId="161" totalsRowDxfId="160"/>
    <tableColumn id="7" xr3:uid="{BCEE8227-CF31-7749-AEEA-C3D9BE1177D9}" name="Total Descanso" totalsRowFunction="sum" dataDxfId="159" totalsRowDxfId="158">
      <calculatedColumnFormula>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calculatedColumnFormula>
    </tableColumn>
    <tableColumn id="8" xr3:uid="{C7147099-A212-504A-A982-AD0EB461AB76}" name="Total Horas menos Descanso" totalsRowFunction="sum" dataDxfId="157" totalsRowDxfId="156">
      <calculatedColumnFormula>IFERROR(IF(T_Fichar345678[[#This Row],[Total Descanso]]="",T_Fichar345678[Horas Trabajadas],T_Fichar345678[[#This Row],[Horas Trabajadas]]-T_Fichar345678[[#This Row],[Total Descanso]]),"")</calculatedColumnFormula>
    </tableColumn>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516E0D-BBEB-904F-8E32-1AC3507E1C1C}" name="T_Fichar34567" displayName="T_Fichar34567" ref="B10:L42" totalsRowCount="1" headerRowDxfId="155" dataDxfId="154" totalsRowDxfId="153" totalsRowBorderDxfId="152">
  <autoFilter ref="B10:L41" xr:uid="{878ABBFD-B7EE-4401-9679-AB91CF1BB644}"/>
  <tableColumns count="11">
    <tableColumn id="1" xr3:uid="{560F10EF-79A1-2C4B-8347-9C87C8C14304}" name="Día" totalsRowLabel="Total" dataDxfId="151" totalsRowDxfId="150"/>
    <tableColumn id="11" xr3:uid="{ED907EE2-9C41-C94F-A6A7-3893A073E898}" name="Turno" dataDxfId="149" totalsRowDxfId="148"/>
    <tableColumn id="10" xr3:uid="{762605B0-FC2E-444B-9961-453306067AAC}" name="Centro Trabajo" dataDxfId="147" totalsRowDxfId="146"/>
    <tableColumn id="9" xr3:uid="{F46CE180-7D8D-5847-92A2-FD70B7BD14FF}" name="Mes" dataDxfId="145" totalsRowDxfId="144">
      <calculatedColumnFormula>IF(T_Fichar34567[[#This Row],[Día]]="","",UPPER(TEXT(T_Fichar34567[[#This Row],[Día]],"MMMM")))</calculatedColumnFormula>
    </tableColumn>
    <tableColumn id="2" xr3:uid="{E328351E-C568-6D4F-BFB3-1E5B44B9AA57}" name="Hora de Entrada" dataDxfId="143" totalsRowDxfId="142"/>
    <tableColumn id="3" xr3:uid="{A033CED0-CB22-D24B-BF1B-1C843032208D}" name="Hora de Salida" dataDxfId="141" totalsRowDxfId="140"/>
    <tableColumn id="4" xr3:uid="{557E54F7-E415-E34D-903C-EFD09BF9EA82}" name="Horas Trabajadas" totalsRowFunction="sum" dataDxfId="139" totalsRowDxfId="138">
      <calculatedColumnFormula>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calculatedColumnFormula>
    </tableColumn>
    <tableColumn id="5" xr3:uid="{200E5431-857E-B24C-9536-2D2761CBD754}" name="Salida Descanso" dataDxfId="137" totalsRowDxfId="136"/>
    <tableColumn id="6" xr3:uid="{0873D862-1E2F-9B4F-BC74-378351483A4B}" name="Regreso Descanso" dataDxfId="135" totalsRowDxfId="134"/>
    <tableColumn id="7" xr3:uid="{0F445008-1464-7941-ABD7-FC069026B373}" name="Total Descanso" totalsRowFunction="sum" dataDxfId="133" totalsRowDxfId="132">
      <calculatedColumnFormula>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calculatedColumnFormula>
    </tableColumn>
    <tableColumn id="8" xr3:uid="{C915B5C4-E762-1A47-A0A5-8A91597C4039}" name="Total Horas menos Descanso" totalsRowFunction="sum" dataDxfId="131" totalsRowDxfId="130">
      <calculatedColumnFormula>IFERROR(IF(T_Fichar34567[[#This Row],[Total Descanso]]="",T_Fichar34567[Horas Trabajadas],T_Fichar34567[[#This Row],[Horas Trabajadas]]-T_Fichar34567[[#This Row],[Total Descanso]]),"")</calculatedColumnFormula>
    </tableColumn>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6267A2-1D7C-F348-BB54-45ADAE2F1F73}" name="T_Fichar3456" displayName="T_Fichar3456" ref="B10:L42" totalsRowCount="1" headerRowDxfId="129" dataDxfId="128" totalsRowDxfId="127" totalsRowBorderDxfId="126">
  <autoFilter ref="B10:L41" xr:uid="{878ABBFD-B7EE-4401-9679-AB91CF1BB644}"/>
  <tableColumns count="11">
    <tableColumn id="1" xr3:uid="{B8A6F694-3D9F-E949-9A5C-788B7C00610F}" name="Día" totalsRowLabel="Total" dataDxfId="125" totalsRowDxfId="124"/>
    <tableColumn id="11" xr3:uid="{E87DE612-192B-504B-9332-83EE8CF87B64}" name="Turno" dataDxfId="123" totalsRowDxfId="122"/>
    <tableColumn id="10" xr3:uid="{3F50115F-C010-3A4F-B2AB-F5F0BE0C985C}" name="Centro Trabajo" dataDxfId="121" totalsRowDxfId="120"/>
    <tableColumn id="9" xr3:uid="{51C5D27B-4E31-C94E-BD09-B41E93434081}" name="Mes" dataDxfId="119" totalsRowDxfId="118">
      <calculatedColumnFormula>IF(T_Fichar3456[[#This Row],[Día]]="","",UPPER(TEXT(T_Fichar3456[[#This Row],[Día]],"MMMM")))</calculatedColumnFormula>
    </tableColumn>
    <tableColumn id="2" xr3:uid="{FA84997A-C792-8C46-BFC7-86AF98D96515}" name="Hora de Entrada" dataDxfId="117" totalsRowDxfId="116"/>
    <tableColumn id="3" xr3:uid="{E0C644F6-C711-CA4A-B820-70A47307D001}" name="Hora de Salida" dataDxfId="115" totalsRowDxfId="114"/>
    <tableColumn id="4" xr3:uid="{6988C211-BF99-9041-9760-74524A372058}" name="Horas Trabajadas" totalsRowFunction="sum" dataDxfId="113" totalsRowDxfId="112">
      <calculatedColumnFormula>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calculatedColumnFormula>
    </tableColumn>
    <tableColumn id="5" xr3:uid="{1FAD9F35-9A9E-4B41-B104-33D74CAC1836}" name="Salida Descanso" dataDxfId="111" totalsRowDxfId="110"/>
    <tableColumn id="6" xr3:uid="{53E97258-FD30-3746-A885-EDC7414956D8}" name="Regreso Descanso" dataDxfId="109" totalsRowDxfId="108"/>
    <tableColumn id="7" xr3:uid="{A6E0FC62-0F04-AB47-942D-E912C2B0FE32}" name="Total Descanso" totalsRowFunction="sum" dataDxfId="107" totalsRowDxfId="106">
      <calculatedColumnFormula>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calculatedColumnFormula>
    </tableColumn>
    <tableColumn id="8" xr3:uid="{8C62DC28-342C-4843-B7E2-FBEE156BA104}" name="Total Horas menos Descanso" totalsRowFunction="sum" dataDxfId="105" totalsRowDxfId="104">
      <calculatedColumnFormula>IFERROR(IF(T_Fichar3456[[#This Row],[Total Descanso]]="",T_Fichar3456[Horas Trabajadas],T_Fichar3456[[#This Row],[Horas Trabajadas]]-T_Fichar3456[[#This Row],[Total Descanso]]),"")</calculatedColumnFormula>
    </tableColumn>
  </tableColumns>
  <tableStyleInfo name="TableStyleMedium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0232005-737D-C24E-A753-769F2F84291D}" name="T_Fichar345" displayName="T_Fichar345" ref="B10:L42" totalsRowCount="1" headerRowDxfId="103" dataDxfId="102" totalsRowDxfId="101" totalsRowBorderDxfId="100">
  <autoFilter ref="B10:L41" xr:uid="{878ABBFD-B7EE-4401-9679-AB91CF1BB644}"/>
  <tableColumns count="11">
    <tableColumn id="1" xr3:uid="{8E2B83A9-0A3A-C345-8094-0C30F2069392}" name="Día" totalsRowLabel="Total" dataDxfId="99" totalsRowDxfId="98"/>
    <tableColumn id="11" xr3:uid="{C6AC171A-37AB-244A-BF96-A32C66E7C190}" name="Turno" dataDxfId="97" totalsRowDxfId="96"/>
    <tableColumn id="10" xr3:uid="{911A9BBD-C0DB-7B41-AE54-870AFBF0374E}" name="Centro Trabajo" dataDxfId="95" totalsRowDxfId="94"/>
    <tableColumn id="9" xr3:uid="{0BA23929-0427-DA4D-9E62-56A4BBCBD34A}" name="Mes" dataDxfId="93" totalsRowDxfId="92">
      <calculatedColumnFormula>IF(T_Fichar345[[#This Row],[Día]]="","",UPPER(TEXT(T_Fichar345[[#This Row],[Día]],"MMMM")))</calculatedColumnFormula>
    </tableColumn>
    <tableColumn id="2" xr3:uid="{ACAA6F36-7925-5342-A7F0-C2D07ABB9544}" name="Hora de Entrada" dataDxfId="91" totalsRowDxfId="90"/>
    <tableColumn id="3" xr3:uid="{48EDE4F4-BCE9-C649-AFC7-F996B0ED4E7A}" name="Hora de Salida" dataDxfId="89" totalsRowDxfId="88"/>
    <tableColumn id="4" xr3:uid="{E293CD93-D2AF-F747-988A-D6BAD36E4234}" name="Horas Trabajadas" totalsRowFunction="sum" dataDxfId="87" totalsRowDxfId="86">
      <calculatedColumnFormula>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calculatedColumnFormula>
    </tableColumn>
    <tableColumn id="5" xr3:uid="{F237FC9C-9C3B-824D-AC45-80122AEE0257}" name="Salida Descanso" dataDxfId="85" totalsRowDxfId="84"/>
    <tableColumn id="6" xr3:uid="{6F8AFF49-5D60-3544-976A-C1D31BF8276B}" name="Regreso Descanso" dataDxfId="83" totalsRowDxfId="82"/>
    <tableColumn id="7" xr3:uid="{E4ABC330-FF80-1D4A-A366-C9ED7AA5CFA0}" name="Total Descanso" totalsRowFunction="sum" dataDxfId="81" totalsRowDxfId="80">
      <calculatedColumnFormula>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calculatedColumnFormula>
    </tableColumn>
    <tableColumn id="8" xr3:uid="{C49AD729-B4FF-AB44-B7CC-588267630C26}" name="Total Horas menos Descanso" totalsRowFunction="sum" dataDxfId="79" totalsRowDxfId="78">
      <calculatedColumnFormula>IFERROR(IF(T_Fichar345[[#This Row],[Total Descanso]]="",T_Fichar345[Horas Trabajadas],T_Fichar345[[#This Row],[Horas Trabajadas]]-T_Fichar345[[#This Row],[Total Descanso]]),"")</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10A1884-37D0-BA4C-8833-22699FD54C3D}" name="T_Fichar34" displayName="T_Fichar34" ref="B10:L42" totalsRowCount="1" headerRowDxfId="77" dataDxfId="76" totalsRowDxfId="75" totalsRowBorderDxfId="74">
  <autoFilter ref="B10:L41" xr:uid="{878ABBFD-B7EE-4401-9679-AB91CF1BB644}"/>
  <tableColumns count="11">
    <tableColumn id="1" xr3:uid="{18DA00B6-CBBB-4C4B-BB0F-E79469E72BD6}" name="Día" totalsRowLabel="Total" dataDxfId="73" totalsRowDxfId="72"/>
    <tableColumn id="11" xr3:uid="{94BAE3C4-BB8C-8140-82E6-33C494E05B36}" name="Turno" dataDxfId="71" totalsRowDxfId="70"/>
    <tableColumn id="10" xr3:uid="{ABE6DC3E-7F1E-E446-BBB6-2C913291F363}" name="Centro Trabajo" dataDxfId="69" totalsRowDxfId="68"/>
    <tableColumn id="9" xr3:uid="{D54A39D3-8F39-0540-AD2A-534042B88F68}" name="Mes" dataDxfId="67" totalsRowDxfId="66">
      <calculatedColumnFormula>IF(T_Fichar34[[#This Row],[Día]]="","",UPPER(TEXT(T_Fichar34[[#This Row],[Día]],"MMMM")))</calculatedColumnFormula>
    </tableColumn>
    <tableColumn id="2" xr3:uid="{0402324C-F81C-274D-8BDC-CEB66CC4B6E0}" name="Hora de Entrada" dataDxfId="65" totalsRowDxfId="64"/>
    <tableColumn id="3" xr3:uid="{DC6A655C-CF43-CD46-8C9E-5A0528D90AC7}" name="Hora de Salida" dataDxfId="63" totalsRowDxfId="62"/>
    <tableColumn id="4" xr3:uid="{E864680E-33FB-0D45-BA4B-4FBB94352666}" name="Horas Trabajadas" totalsRowFunction="sum" dataDxfId="61" totalsRowDxfId="60">
      <calculatedColumnFormula>IFERROR(IF(OR(T_Fichar34[[#This Row],[Hora de Salida]]="",T_Fichar34[[#This Row],[Hora de Entrada]]=""),"",IF(T_Fichar34[[#This Row],[Hora de Entrada]]&gt;T_Fichar34[[#This Row],[Hora de Salida]],(1-T_Fichar34[[#This Row],[Hora de Entrada]])+(T_Fichar34[[#This Row],[Hora de Salida]]),T_Fichar34[[#This Row],[Hora de Salida]]-T_Fichar34[[#This Row],[Hora de Entrada]])),"")</calculatedColumnFormula>
    </tableColumn>
    <tableColumn id="5" xr3:uid="{49D81C55-0E24-0040-A693-5385828D81C8}" name="Salida Descanso" dataDxfId="59" totalsRowDxfId="58"/>
    <tableColumn id="6" xr3:uid="{AF84544E-11F1-A243-B770-EA88BF344C87}" name="Regreso Descanso" dataDxfId="57" totalsRowDxfId="56"/>
    <tableColumn id="7" xr3:uid="{4F27EBC4-74A3-5047-8240-02497AF0EF70}" name="Total Descanso" totalsRowFunction="sum" dataDxfId="55" totalsRowDxfId="54">
      <calculatedColumnFormula>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calculatedColumnFormula>
    </tableColumn>
    <tableColumn id="8" xr3:uid="{332F1996-C1DA-B94D-B81D-9BB09A54BABC}" name="Total Horas menos Descanso" totalsRowFunction="sum" dataDxfId="53" totalsRowDxfId="52">
      <calculatedColumnFormula>IFERROR(IF(T_Fichar34[[#This Row],[Total Descanso]]="",T_Fichar34[Horas Trabajadas],T_Fichar34[[#This Row],[Horas Trabajadas]]-T_Fichar34[[#This Row],[Total Descanso]]),"")</calculatedColumnFormula>
    </tableColumn>
  </tableColumns>
  <tableStyleInfo name="TableStyleMedium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CB9DB4-B3F9-3B4A-BFB5-1B31BEFBEB86}" name="T_Fichar3" displayName="T_Fichar3" ref="B10:L42" totalsRowCount="1" headerRowDxfId="51" dataDxfId="50" totalsRowDxfId="49" totalsRowBorderDxfId="48">
  <autoFilter ref="B10:L41" xr:uid="{878ABBFD-B7EE-4401-9679-AB91CF1BB644}"/>
  <tableColumns count="11">
    <tableColumn id="1" xr3:uid="{0D8F3580-A3A2-AE41-84EA-F0BE13EBFADA}" name="Día" totalsRowLabel="Total" dataDxfId="47" totalsRowDxfId="46"/>
    <tableColumn id="11" xr3:uid="{4F51465F-010D-284A-96A8-A229B5D879B8}" name="Turno" dataDxfId="45" totalsRowDxfId="44"/>
    <tableColumn id="10" xr3:uid="{F7954635-91EA-F04E-8EAA-039289A0FC93}" name="Centro Trabajo" dataDxfId="43" totalsRowDxfId="42"/>
    <tableColumn id="9" xr3:uid="{28F03922-ADE0-A142-A3CA-2969913F1952}" name="Mes" dataDxfId="41" totalsRowDxfId="40">
      <calculatedColumnFormula>IF(T_Fichar3[[#This Row],[Día]]="","",UPPER(TEXT(T_Fichar3[[#This Row],[Día]],"MMMM")))</calculatedColumnFormula>
    </tableColumn>
    <tableColumn id="2" xr3:uid="{16E4211C-88B8-6A49-BEB2-F0B329A5F4CB}" name="Hora de Entrada" dataDxfId="39" totalsRowDxfId="38"/>
    <tableColumn id="3" xr3:uid="{9ACA0BD8-1143-D245-951A-4045B62AAE6F}" name="Hora de Salida" dataDxfId="37" totalsRowDxfId="36"/>
    <tableColumn id="4" xr3:uid="{AEEF20CC-A74B-5E47-B2AA-E34DA5A4C92E}" name="Horas Trabajadas" totalsRowFunction="sum" dataDxfId="35" totalsRowDxfId="34">
      <calculatedColumnFormula>IFERROR(IF(OR(T_Fichar3[[#This Row],[Hora de Salida]]="",T_Fichar3[[#This Row],[Hora de Entrada]]=""),"",IF(T_Fichar3[[#This Row],[Hora de Entrada]]&gt;T_Fichar3[[#This Row],[Hora de Salida]],(1-T_Fichar3[[#This Row],[Hora de Entrada]])+(T_Fichar3[[#This Row],[Hora de Salida]]),T_Fichar3[[#This Row],[Hora de Salida]]-T_Fichar3[[#This Row],[Hora de Entrada]])),"")</calculatedColumnFormula>
    </tableColumn>
    <tableColumn id="5" xr3:uid="{78289D6F-CAAB-5D47-865D-F18377518361}" name="Salida Descanso" dataDxfId="33" totalsRowDxfId="32"/>
    <tableColumn id="6" xr3:uid="{29D21139-F798-4043-9F0D-42981F7B49E7}" name="Regreso Descanso" dataDxfId="31" totalsRowDxfId="30"/>
    <tableColumn id="7" xr3:uid="{E500925D-53E5-5944-B3FC-A448048458EE}" name="Total Descanso" totalsRowFunction="sum" dataDxfId="29" totalsRowDxfId="28">
      <calculatedColumnFormula>IFERROR(IF(OR(T_Fichar3[[#This Row],[Salida Descanso]]="",T_Fichar3[[#This Row],[Regreso Descanso]]=""),"",IF(T_Fichar3[[#This Row],[Salida Descanso]]&gt;T_Fichar3[[#This Row],[Regreso Descanso]],(1-T_Fichar3[[#This Row],[Salida Descanso]])+T_Fichar3[[#This Row],[Regreso Descanso]],T_Fichar3[[#This Row],[Regreso Descanso]]-T_Fichar3[[#This Row],[Salida Descanso]])),"")</calculatedColumnFormula>
    </tableColumn>
    <tableColumn id="8" xr3:uid="{2E6D5FC1-BD13-9845-9CDD-536C71A6FA05}" name="Total Horas menos Descanso" totalsRowFunction="sum" dataDxfId="27" totalsRowDxfId="26">
      <calculatedColumnFormula>IFERROR(IF(T_Fichar3[[#This Row],[Total Descanso]]="",T_Fichar3[Horas Trabajadas],T_Fichar3[[#This Row],[Horas Trabajadas]]-T_Fichar3[[#This Row],[Total Descanso]]),"")</calculatedColumnFormula>
    </tableColumn>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DC08C34-1F61-CA4E-8A4F-E862E2EE9FF9}" name="T_Fichar311" displayName="T_Fichar311" ref="B10:L42" totalsRowCount="1" headerRowDxfId="25" dataDxfId="24" totalsRowDxfId="23" totalsRowBorderDxfId="22">
  <autoFilter ref="B10:L41" xr:uid="{878ABBFD-B7EE-4401-9679-AB91CF1BB644}"/>
  <tableColumns count="11">
    <tableColumn id="1" xr3:uid="{6872A352-73DF-3640-8C64-4A46603D5B1D}" name="Día" totalsRowLabel="Total" dataDxfId="21" totalsRowDxfId="20"/>
    <tableColumn id="11" xr3:uid="{F6DB1676-7788-E84D-B310-64DBBBDBC13F}" name="Turno" dataDxfId="19" totalsRowDxfId="18"/>
    <tableColumn id="10" xr3:uid="{D11C9A75-22E0-7349-82B0-A9972345EC57}" name="Centro Trabajo" dataDxfId="17" totalsRowDxfId="16"/>
    <tableColumn id="9" xr3:uid="{D3211EA8-C70A-494F-ACDF-34D58C5637D0}" name="Mes" dataDxfId="15" totalsRowDxfId="14">
      <calculatedColumnFormula>IF(T_Fichar311[[#This Row],[Día]]="","",UPPER(TEXT(T_Fichar311[[#This Row],[Día]],"MMMM")))</calculatedColumnFormula>
    </tableColumn>
    <tableColumn id="2" xr3:uid="{1590F6C7-18BB-B04D-B1FB-009124ADF754}" name="Hora de Entrada" dataDxfId="13" totalsRowDxfId="12"/>
    <tableColumn id="3" xr3:uid="{B357927B-CD09-EF48-B7BC-FAC1A82BFF1C}" name="Hora de Salida" dataDxfId="11" totalsRowDxfId="10"/>
    <tableColumn id="4" xr3:uid="{EE3F07D6-51D2-1846-90AE-30E164E095F6}" name="Horas Trabajadas" totalsRowFunction="sum" dataDxfId="9" totalsRowDxfId="8">
      <calculatedColumnFormula>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calculatedColumnFormula>
    </tableColumn>
    <tableColumn id="5" xr3:uid="{ECC14C5F-F0F3-D34D-8894-A989DB1D498B}" name="Salida Descanso" dataDxfId="7" totalsRowDxfId="6"/>
    <tableColumn id="6" xr3:uid="{7F7E5A64-5B5F-A349-A78B-C5DB52B1FFBB}" name="Regreso Descanso" dataDxfId="5" totalsRowDxfId="4"/>
    <tableColumn id="7" xr3:uid="{C8182E34-C7C3-6544-88CD-BC84D5FC0778}" name="Total Descanso" totalsRowFunction="sum" dataDxfId="3" totalsRowDxfId="2">
      <calculatedColumnFormula>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calculatedColumnFormula>
    </tableColumn>
    <tableColumn id="8" xr3:uid="{932BD477-2358-5E4C-B001-F419F9BCA02E}" name="Total Horas menos Descanso" totalsRowFunction="sum" dataDxfId="1" totalsRowDxfId="0">
      <calculatedColumnFormula>IFERROR(IF(T_Fichar311[[#This Row],[Total Descanso]]="",T_Fichar311[Horas Trabajadas],T_Fichar311[[#This Row],[Horas Trabajadas]]-T_Fichar311[[#This Row],[Total Descanso]]),"")</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 /><Relationship Id="rId2" Type="http://schemas.openxmlformats.org/officeDocument/2006/relationships/drawing" Target="../drawings/drawing1.xml" /><Relationship Id="rId1" Type="http://schemas.openxmlformats.org/officeDocument/2006/relationships/printerSettings" Target="../printerSettings/printerSettings1.bin" /></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 /><Relationship Id="rId2" Type="http://schemas.openxmlformats.org/officeDocument/2006/relationships/drawing" Target="../drawings/drawing2.xml" /><Relationship Id="rId1" Type="http://schemas.openxmlformats.org/officeDocument/2006/relationships/printerSettings" Target="../printerSettings/printerSettings2.bin" /></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 /><Relationship Id="rId2" Type="http://schemas.openxmlformats.org/officeDocument/2006/relationships/drawing" Target="../drawings/drawing3.xml" /><Relationship Id="rId1" Type="http://schemas.openxmlformats.org/officeDocument/2006/relationships/printerSettings" Target="../printerSettings/printerSettings3.bin" /></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 /><Relationship Id="rId2" Type="http://schemas.openxmlformats.org/officeDocument/2006/relationships/drawing" Target="../drawings/drawing4.xml" /><Relationship Id="rId1" Type="http://schemas.openxmlformats.org/officeDocument/2006/relationships/printerSettings" Target="../printerSettings/printerSettings4.bin" /></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 /><Relationship Id="rId2" Type="http://schemas.openxmlformats.org/officeDocument/2006/relationships/drawing" Target="../drawings/drawing5.xml" /><Relationship Id="rId1" Type="http://schemas.openxmlformats.org/officeDocument/2006/relationships/printerSettings" Target="../printerSettings/printerSettings5.bin" /></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 /><Relationship Id="rId2" Type="http://schemas.openxmlformats.org/officeDocument/2006/relationships/drawing" Target="../drawings/drawing6.xml" /><Relationship Id="rId1" Type="http://schemas.openxmlformats.org/officeDocument/2006/relationships/printerSettings" Target="../printerSettings/printerSettings6.bin" /></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 /><Relationship Id="rId2" Type="http://schemas.openxmlformats.org/officeDocument/2006/relationships/drawing" Target="../drawings/drawing7.xml" /><Relationship Id="rId1" Type="http://schemas.openxmlformats.org/officeDocument/2006/relationships/printerSettings" Target="../printerSettings/printerSettings7.bin" /></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 /><Relationship Id="rId2" Type="http://schemas.openxmlformats.org/officeDocument/2006/relationships/drawing" Target="../drawings/drawing8.xml" /><Relationship Id="rId1" Type="http://schemas.openxmlformats.org/officeDocument/2006/relationships/printerSettings" Target="../printerSettings/printerSettings8.bin" /></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 /><Relationship Id="rId2" Type="http://schemas.openxmlformats.org/officeDocument/2006/relationships/drawing" Target="../drawings/drawing9.xml" /><Relationship Id="rId1" Type="http://schemas.openxmlformats.org/officeDocument/2006/relationships/printerSettings" Target="../printerSettings/printerSettings9.bin" /></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 /><Relationship Id="rId2" Type="http://schemas.openxmlformats.org/officeDocument/2006/relationships/drawing" Target="../drawings/drawing10.xml" /><Relationship Id="rId1" Type="http://schemas.openxmlformats.org/officeDocument/2006/relationships/printerSettings" Target="../printerSettings/printerSettings10.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E2EFC-DB7C-4094-B495-D9AAD7E22B10}">
  <dimension ref="A4:L53"/>
  <sheetViews>
    <sheetView showGridLines="0" workbookViewId="0">
      <pane ySplit="10" topLeftCell="A11" activePane="bottomLeft" state="frozen"/>
      <selection activeCell="F1" sqref="F1"/>
      <selection pane="bottomLeft" activeCell="H23" sqref="H23"/>
    </sheetView>
  </sheetViews>
  <sheetFormatPr defaultColWidth="10.76171875" defaultRowHeight="15" x14ac:dyDescent="0.2"/>
  <cols>
    <col min="1" max="1" width="7.3984375" customWidth="1"/>
    <col min="2" max="2" width="12.64453125" style="31" bestFit="1" customWidth="1"/>
    <col min="3" max="3" width="10.76171875" style="35"/>
    <col min="4" max="4" width="11.97265625" style="35" customWidth="1"/>
    <col min="5" max="5" width="11.43359375" style="35"/>
    <col min="6" max="6" width="15.06640625" style="28" customWidth="1"/>
    <col min="7" max="7" width="13.85546875" style="28" customWidth="1"/>
    <col min="8" max="8" width="14.796875" style="32" customWidth="1"/>
    <col min="9" max="10" width="14.796875" style="31" customWidth="1"/>
    <col min="11" max="12" width="14.796875" style="35" customWidth="1"/>
  </cols>
  <sheetData>
    <row r="4" spans="1:12" x14ac:dyDescent="0.2">
      <c r="B4" s="40" t="s">
        <v>17</v>
      </c>
      <c r="C4" s="48" t="s">
        <v>32</v>
      </c>
      <c r="D4" s="48"/>
      <c r="E4" s="48"/>
      <c r="F4" s="48"/>
      <c r="H4" s="49" t="s">
        <v>27</v>
      </c>
      <c r="I4" s="49"/>
      <c r="J4" s="49"/>
    </row>
    <row r="5" spans="1:12" x14ac:dyDescent="0.2">
      <c r="B5" s="40" t="s">
        <v>13</v>
      </c>
      <c r="D5" s="35" t="s">
        <v>33</v>
      </c>
      <c r="E5" s="40"/>
      <c r="F5" s="46"/>
      <c r="H5" s="45" t="s">
        <v>28</v>
      </c>
      <c r="I5" s="43" t="s">
        <v>20</v>
      </c>
      <c r="J5" s="42"/>
    </row>
    <row r="6" spans="1:12" x14ac:dyDescent="0.2">
      <c r="B6" s="35"/>
      <c r="H6" s="45" t="s">
        <v>29</v>
      </c>
      <c r="I6" s="43" t="s">
        <v>19</v>
      </c>
      <c r="J6" s="42"/>
    </row>
    <row r="7" spans="1:12" x14ac:dyDescent="0.2">
      <c r="B7" s="35"/>
      <c r="H7" s="45" t="s">
        <v>30</v>
      </c>
      <c r="I7" s="43">
        <v>700</v>
      </c>
      <c r="J7" s="42"/>
    </row>
    <row r="8" spans="1:12" x14ac:dyDescent="0.2">
      <c r="B8" s="35"/>
      <c r="H8" s="45" t="s">
        <v>31</v>
      </c>
      <c r="I8" s="44">
        <v>44256</v>
      </c>
      <c r="J8" s="42"/>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27">
        <v>44256</v>
      </c>
      <c r="C11" s="39"/>
      <c r="D11" s="47"/>
      <c r="E11" s="39" t="str">
        <f>IF(T_Fichar[[#This Row],[Día]]="","",UPPER(TEXT(T_Fichar[[#This Row],[Día]],"MMMM")))</f>
        <v>MARZO</v>
      </c>
      <c r="F11" s="29">
        <v>0.3125</v>
      </c>
      <c r="G11" s="29">
        <v>0.58333333333333337</v>
      </c>
      <c r="H11" s="33">
        <f>IFERROR(IF(OR(T_Fichar[[#This Row],[Hora de Salida]]="",T_Fichar[[#This Row],[Hora de Entrada]]=""),"",IF(T_Fichar[[#This Row],[Hora de Entrada]]&gt;T_Fichar[[#This Row],[Hora de Salida]],(1-T_Fichar[[#This Row],[Hora de Entrada]])+(T_Fichar[[#This Row],[Hora de Salida]]),T_Fichar[[#This Row],[Hora de Salida]]-T_Fichar[[#This Row],[Hora de Entrada]])),"")</f>
        <v>0.27083333333333337</v>
      </c>
      <c r="I11" s="29"/>
      <c r="J11" s="29"/>
      <c r="K11"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11" s="36">
        <f>IFERROR(IF(T_Fichar[[#This Row],[Total Descanso]]="",T_Fichar[Horas Trabajadas],T_Fichar[[#This Row],[Horas Trabajadas]]-T_Fichar[[#This Row],[Total Descanso]]),"")</f>
        <v>0.27083333333333337</v>
      </c>
    </row>
    <row r="12" spans="1:12" x14ac:dyDescent="0.2">
      <c r="A12">
        <v>2</v>
      </c>
      <c r="B12" s="27">
        <v>44257</v>
      </c>
      <c r="C12" s="39"/>
      <c r="D12" s="39"/>
      <c r="E12" s="39" t="str">
        <f>IF(T_Fichar[[#This Row],[Día]]="","",UPPER(TEXT(T_Fichar[[#This Row],[Día]],"MMMM")))</f>
        <v>MARZO</v>
      </c>
      <c r="F12" s="29"/>
      <c r="G12" s="29"/>
      <c r="H12"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12" s="29"/>
      <c r="J12" s="29"/>
      <c r="K12"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12" s="36" t="str">
        <f>IFERROR(IF(T_Fichar[[#This Row],[Total Descanso]]="",T_Fichar[Horas Trabajadas],T_Fichar[[#This Row],[Horas Trabajadas]]-T_Fichar[[#This Row],[Total Descanso]]),"")</f>
        <v/>
      </c>
    </row>
    <row r="13" spans="1:12" x14ac:dyDescent="0.2">
      <c r="A13">
        <v>3</v>
      </c>
      <c r="B13" s="27">
        <v>44258</v>
      </c>
      <c r="C13" s="39"/>
      <c r="D13" s="39"/>
      <c r="E13" s="39" t="str">
        <f>IF(T_Fichar[[#This Row],[Día]]="","",UPPER(TEXT(T_Fichar[[#This Row],[Día]],"MMMM")))</f>
        <v>MARZO</v>
      </c>
      <c r="F13" s="29"/>
      <c r="G13" s="29"/>
      <c r="H13"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13" s="29"/>
      <c r="J13" s="29"/>
      <c r="K13"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13" s="36" t="str">
        <f>IFERROR(IF(T_Fichar[[#This Row],[Total Descanso]]="",T_Fichar[Horas Trabajadas],T_Fichar[[#This Row],[Horas Trabajadas]]-T_Fichar[[#This Row],[Total Descanso]]),"")</f>
        <v/>
      </c>
    </row>
    <row r="14" spans="1:12" x14ac:dyDescent="0.2">
      <c r="A14">
        <v>4</v>
      </c>
      <c r="B14" s="27">
        <v>44259</v>
      </c>
      <c r="C14" s="39"/>
      <c r="D14" s="39"/>
      <c r="E14" s="39" t="str">
        <f>IF(T_Fichar[[#This Row],[Día]]="","",UPPER(TEXT(T_Fichar[[#This Row],[Día]],"MMMM")))</f>
        <v>MARZO</v>
      </c>
      <c r="F14" s="29"/>
      <c r="G14" s="29"/>
      <c r="H14"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14" s="29"/>
      <c r="J14" s="29"/>
      <c r="K14"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14" s="36" t="str">
        <f>IFERROR(IF(T_Fichar[[#This Row],[Total Descanso]]="",T_Fichar[Horas Trabajadas],T_Fichar[[#This Row],[Horas Trabajadas]]-T_Fichar[[#This Row],[Total Descanso]]),"")</f>
        <v/>
      </c>
    </row>
    <row r="15" spans="1:12" x14ac:dyDescent="0.2">
      <c r="A15">
        <v>5</v>
      </c>
      <c r="B15" s="27">
        <v>44260</v>
      </c>
      <c r="C15" s="39"/>
      <c r="D15" s="39"/>
      <c r="E15" s="39" t="str">
        <f>IF(T_Fichar[[#This Row],[Día]]="","",UPPER(TEXT(T_Fichar[[#This Row],[Día]],"MMMM")))</f>
        <v>MARZO</v>
      </c>
      <c r="F15" s="29"/>
      <c r="G15" s="29"/>
      <c r="H15"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15" s="29"/>
      <c r="J15" s="29"/>
      <c r="K15"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15" s="36" t="str">
        <f>IFERROR(IF(T_Fichar[[#This Row],[Total Descanso]]="",T_Fichar[Horas Trabajadas],T_Fichar[[#This Row],[Horas Trabajadas]]-T_Fichar[[#This Row],[Total Descanso]]),"")</f>
        <v/>
      </c>
    </row>
    <row r="16" spans="1:12" x14ac:dyDescent="0.2">
      <c r="A16">
        <v>6</v>
      </c>
      <c r="B16" s="27">
        <v>44261</v>
      </c>
      <c r="C16" s="39"/>
      <c r="D16" s="39"/>
      <c r="E16" s="39" t="str">
        <f>IF(T_Fichar[[#This Row],[Día]]="","",UPPER(TEXT(T_Fichar[[#This Row],[Día]],"MMMM")))</f>
        <v>MARZO</v>
      </c>
      <c r="F16" s="29"/>
      <c r="G16" s="29"/>
      <c r="H16" s="33"/>
      <c r="I16" s="29"/>
      <c r="J16" s="29"/>
      <c r="K16" s="33"/>
      <c r="L16" s="36"/>
    </row>
    <row r="17" spans="1:12" x14ac:dyDescent="0.2">
      <c r="A17">
        <v>7</v>
      </c>
      <c r="B17" s="27">
        <v>44262</v>
      </c>
      <c r="C17" s="39"/>
      <c r="D17" s="39"/>
      <c r="E17" s="39" t="str">
        <f>IF(T_Fichar[[#This Row],[Día]]="","",UPPER(TEXT(T_Fichar[[#This Row],[Día]],"MMMM")))</f>
        <v>MARZO</v>
      </c>
      <c r="F17" s="29"/>
      <c r="G17" s="29"/>
      <c r="H17"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17" s="29"/>
      <c r="J17" s="29"/>
      <c r="K17"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17" s="36" t="str">
        <f>IFERROR(IF(T_Fichar[[#This Row],[Total Descanso]]="",T_Fichar[Horas Trabajadas],T_Fichar[[#This Row],[Horas Trabajadas]]-T_Fichar[[#This Row],[Total Descanso]]),"")</f>
        <v/>
      </c>
    </row>
    <row r="18" spans="1:12" x14ac:dyDescent="0.2">
      <c r="A18">
        <v>8</v>
      </c>
      <c r="B18" s="27">
        <v>44263</v>
      </c>
      <c r="C18" s="39"/>
      <c r="D18" s="39"/>
      <c r="E18" s="39" t="str">
        <f>IF(T_Fichar[[#This Row],[Día]]="","",UPPER(TEXT(T_Fichar[[#This Row],[Día]],"MMMM")))</f>
        <v>MARZO</v>
      </c>
      <c r="F18" s="29"/>
      <c r="G18" s="29"/>
      <c r="H18"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18" s="29"/>
      <c r="J18" s="29"/>
      <c r="K18"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18" s="36" t="str">
        <f>IFERROR(IF(T_Fichar[[#This Row],[Total Descanso]]="",T_Fichar[Horas Trabajadas],T_Fichar[[#This Row],[Horas Trabajadas]]-T_Fichar[[#This Row],[Total Descanso]]),"")</f>
        <v/>
      </c>
    </row>
    <row r="19" spans="1:12" x14ac:dyDescent="0.2">
      <c r="A19">
        <v>9</v>
      </c>
      <c r="B19" s="27">
        <v>44264</v>
      </c>
      <c r="C19" s="39"/>
      <c r="D19" s="39"/>
      <c r="E19" s="39" t="str">
        <f>IF(T_Fichar[[#This Row],[Día]]="","",UPPER(TEXT(T_Fichar[[#This Row],[Día]],"MMMM")))</f>
        <v>MARZO</v>
      </c>
      <c r="F19" s="29"/>
      <c r="G19" s="29"/>
      <c r="H19"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19" s="29"/>
      <c r="J19" s="29"/>
      <c r="K19"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19" s="36" t="str">
        <f>IFERROR(IF(T_Fichar[[#This Row],[Total Descanso]]="",T_Fichar[Horas Trabajadas],T_Fichar[[#This Row],[Horas Trabajadas]]-T_Fichar[[#This Row],[Total Descanso]]),"")</f>
        <v/>
      </c>
    </row>
    <row r="20" spans="1:12" x14ac:dyDescent="0.2">
      <c r="A20">
        <v>10</v>
      </c>
      <c r="B20" s="27">
        <v>44265</v>
      </c>
      <c r="C20" s="39"/>
      <c r="D20" s="39"/>
      <c r="E20" s="39" t="str">
        <f>IF(T_Fichar[[#This Row],[Día]]="","",UPPER(TEXT(T_Fichar[[#This Row],[Día]],"MMMM")))</f>
        <v>MARZO</v>
      </c>
      <c r="F20" s="29"/>
      <c r="G20" s="29"/>
      <c r="H20"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0" s="29"/>
      <c r="J20" s="29"/>
      <c r="K20"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0" s="36" t="str">
        <f>IFERROR(IF(T_Fichar[[#This Row],[Total Descanso]]="",T_Fichar[Horas Trabajadas],T_Fichar[[#This Row],[Horas Trabajadas]]-T_Fichar[[#This Row],[Total Descanso]]),"")</f>
        <v/>
      </c>
    </row>
    <row r="21" spans="1:12" x14ac:dyDescent="0.2">
      <c r="A21">
        <v>11</v>
      </c>
      <c r="B21" s="27">
        <v>44266</v>
      </c>
      <c r="C21" s="39"/>
      <c r="D21" s="39"/>
      <c r="E21" s="39" t="str">
        <f>IF(T_Fichar[[#This Row],[Día]]="","",UPPER(TEXT(T_Fichar[[#This Row],[Día]],"MMMM")))</f>
        <v>MARZO</v>
      </c>
      <c r="F21" s="29"/>
      <c r="G21" s="29"/>
      <c r="H21"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1" s="29"/>
      <c r="J21" s="29"/>
      <c r="K21"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1" s="36" t="str">
        <f>IFERROR(IF(T_Fichar[[#This Row],[Total Descanso]]="",T_Fichar[Horas Trabajadas],T_Fichar[[#This Row],[Horas Trabajadas]]-T_Fichar[[#This Row],[Total Descanso]]),"")</f>
        <v/>
      </c>
    </row>
    <row r="22" spans="1:12" x14ac:dyDescent="0.2">
      <c r="A22">
        <v>12</v>
      </c>
      <c r="B22" s="27">
        <v>44267</v>
      </c>
      <c r="C22" s="39"/>
      <c r="D22" s="39"/>
      <c r="E22" s="39" t="str">
        <f>IF(T_Fichar[[#This Row],[Día]]="","",UPPER(TEXT(T_Fichar[[#This Row],[Día]],"MMMM")))</f>
        <v>MARZO</v>
      </c>
      <c r="F22" s="29"/>
      <c r="G22" s="29"/>
      <c r="H22"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2" s="29"/>
      <c r="J22" s="29"/>
      <c r="K22"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2" s="36" t="str">
        <f>IFERROR(IF(T_Fichar[[#This Row],[Total Descanso]]="",T_Fichar[Horas Trabajadas],T_Fichar[[#This Row],[Horas Trabajadas]]-T_Fichar[[#This Row],[Total Descanso]]),"")</f>
        <v/>
      </c>
    </row>
    <row r="23" spans="1:12" x14ac:dyDescent="0.2">
      <c r="A23">
        <v>13</v>
      </c>
      <c r="B23" s="27">
        <v>44268</v>
      </c>
      <c r="C23" s="39"/>
      <c r="D23" s="39"/>
      <c r="E23" s="39" t="str">
        <f>IF(T_Fichar[[#This Row],[Día]]="","",UPPER(TEXT(T_Fichar[[#This Row],[Día]],"MMMM")))</f>
        <v>MARZO</v>
      </c>
      <c r="F23" s="29"/>
      <c r="G23" s="29"/>
      <c r="H23"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3" s="29"/>
      <c r="J23" s="29"/>
      <c r="K23"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3" s="36" t="str">
        <f>IFERROR(IF(T_Fichar[[#This Row],[Total Descanso]]="",T_Fichar[Horas Trabajadas],T_Fichar[[#This Row],[Horas Trabajadas]]-T_Fichar[[#This Row],[Total Descanso]]),"")</f>
        <v/>
      </c>
    </row>
    <row r="24" spans="1:12" x14ac:dyDescent="0.2">
      <c r="A24">
        <v>14</v>
      </c>
      <c r="B24" s="27">
        <v>44269</v>
      </c>
      <c r="C24" s="39"/>
      <c r="D24" s="39"/>
      <c r="E24" s="39" t="str">
        <f>IF(T_Fichar[[#This Row],[Día]]="","",UPPER(TEXT(T_Fichar[[#This Row],[Día]],"MMMM")))</f>
        <v>MARZO</v>
      </c>
      <c r="F24" s="29"/>
      <c r="G24" s="29"/>
      <c r="H24"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4" s="29"/>
      <c r="J24" s="29"/>
      <c r="K24"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4" s="36" t="str">
        <f>IFERROR(IF(T_Fichar[[#This Row],[Total Descanso]]="",T_Fichar[Horas Trabajadas],T_Fichar[[#This Row],[Horas Trabajadas]]-T_Fichar[[#This Row],[Total Descanso]]),"")</f>
        <v/>
      </c>
    </row>
    <row r="25" spans="1:12" x14ac:dyDescent="0.2">
      <c r="A25">
        <v>15</v>
      </c>
      <c r="B25" s="27">
        <v>44270</v>
      </c>
      <c r="C25" s="39"/>
      <c r="D25" s="39"/>
      <c r="E25" s="39" t="str">
        <f>IF(T_Fichar[[#This Row],[Día]]="","",UPPER(TEXT(T_Fichar[[#This Row],[Día]],"MMMM")))</f>
        <v>MARZO</v>
      </c>
      <c r="F25" s="29"/>
      <c r="G25" s="29"/>
      <c r="H25"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5" s="29"/>
      <c r="J25" s="29"/>
      <c r="K25"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5" s="36" t="str">
        <f>IFERROR(IF(T_Fichar[[#This Row],[Total Descanso]]="",T_Fichar[Horas Trabajadas],T_Fichar[[#This Row],[Horas Trabajadas]]-T_Fichar[[#This Row],[Total Descanso]]),"")</f>
        <v/>
      </c>
    </row>
    <row r="26" spans="1:12" x14ac:dyDescent="0.2">
      <c r="A26">
        <v>16</v>
      </c>
      <c r="B26" s="27">
        <v>44271</v>
      </c>
      <c r="C26" s="39"/>
      <c r="D26" s="39"/>
      <c r="E26" s="39" t="str">
        <f>IF(T_Fichar[[#This Row],[Día]]="","",UPPER(TEXT(T_Fichar[[#This Row],[Día]],"MMMM")))</f>
        <v>MARZO</v>
      </c>
      <c r="F26" s="29"/>
      <c r="G26" s="29"/>
      <c r="H26"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6" s="29"/>
      <c r="J26" s="29"/>
      <c r="K26"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6" s="36" t="str">
        <f>IFERROR(IF(T_Fichar[[#This Row],[Total Descanso]]="",T_Fichar[Horas Trabajadas],T_Fichar[[#This Row],[Horas Trabajadas]]-T_Fichar[[#This Row],[Total Descanso]]),"")</f>
        <v/>
      </c>
    </row>
    <row r="27" spans="1:12" x14ac:dyDescent="0.2">
      <c r="A27">
        <v>17</v>
      </c>
      <c r="B27" s="27">
        <v>44272</v>
      </c>
      <c r="C27" s="39"/>
      <c r="D27" s="39"/>
      <c r="E27" s="39" t="str">
        <f>IF(T_Fichar[[#This Row],[Día]]="","",UPPER(TEXT(T_Fichar[[#This Row],[Día]],"MMMM")))</f>
        <v>MARZO</v>
      </c>
      <c r="F27" s="29"/>
      <c r="G27" s="29"/>
      <c r="H27"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7" s="29"/>
      <c r="J27" s="29"/>
      <c r="K27"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7" s="36" t="str">
        <f>IFERROR(IF(T_Fichar[[#This Row],[Total Descanso]]="",T_Fichar[Horas Trabajadas],T_Fichar[[#This Row],[Horas Trabajadas]]-T_Fichar[[#This Row],[Total Descanso]]),"")</f>
        <v/>
      </c>
    </row>
    <row r="28" spans="1:12" x14ac:dyDescent="0.2">
      <c r="A28">
        <v>18</v>
      </c>
      <c r="B28" s="27">
        <v>44273</v>
      </c>
      <c r="C28" s="39"/>
      <c r="D28" s="39"/>
      <c r="E28" s="39" t="str">
        <f>IF(T_Fichar[[#This Row],[Día]]="","",UPPER(TEXT(T_Fichar[[#This Row],[Día]],"MMMM")))</f>
        <v>MARZO</v>
      </c>
      <c r="F28" s="29"/>
      <c r="G28" s="29"/>
      <c r="H28"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8" s="29"/>
      <c r="J28" s="29"/>
      <c r="K28"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8" s="36" t="str">
        <f>IFERROR(IF(T_Fichar[[#This Row],[Total Descanso]]="",T_Fichar[Horas Trabajadas],T_Fichar[[#This Row],[Horas Trabajadas]]-T_Fichar[[#This Row],[Total Descanso]]),"")</f>
        <v/>
      </c>
    </row>
    <row r="29" spans="1:12" x14ac:dyDescent="0.2">
      <c r="A29">
        <v>19</v>
      </c>
      <c r="B29" s="27">
        <v>44274</v>
      </c>
      <c r="C29" s="39"/>
      <c r="D29" s="39"/>
      <c r="E29" s="39" t="str">
        <f>IF(T_Fichar[[#This Row],[Día]]="","",UPPER(TEXT(T_Fichar[[#This Row],[Día]],"MMMM")))</f>
        <v>MARZO</v>
      </c>
      <c r="F29" s="29"/>
      <c r="G29" s="29"/>
      <c r="H29"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29" s="29"/>
      <c r="J29" s="29"/>
      <c r="K29"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29" s="36" t="str">
        <f>IFERROR(IF(T_Fichar[[#This Row],[Total Descanso]]="",T_Fichar[Horas Trabajadas],T_Fichar[[#This Row],[Horas Trabajadas]]-T_Fichar[[#This Row],[Total Descanso]]),"")</f>
        <v/>
      </c>
    </row>
    <row r="30" spans="1:12" x14ac:dyDescent="0.2">
      <c r="A30">
        <v>20</v>
      </c>
      <c r="B30" s="27">
        <v>44275</v>
      </c>
      <c r="C30" s="39"/>
      <c r="D30" s="39"/>
      <c r="E30" s="39" t="str">
        <f>IF(T_Fichar[[#This Row],[Día]]="","",UPPER(TEXT(T_Fichar[[#This Row],[Día]],"MMMM")))</f>
        <v>MARZO</v>
      </c>
      <c r="F30" s="29"/>
      <c r="G30" s="29"/>
      <c r="H30"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0" s="29"/>
      <c r="J30" s="29"/>
      <c r="K30"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0" s="36" t="str">
        <f>IFERROR(IF(T_Fichar[[#This Row],[Total Descanso]]="",T_Fichar[Horas Trabajadas],T_Fichar[[#This Row],[Horas Trabajadas]]-T_Fichar[[#This Row],[Total Descanso]]),"")</f>
        <v/>
      </c>
    </row>
    <row r="31" spans="1:12" x14ac:dyDescent="0.2">
      <c r="A31">
        <v>21</v>
      </c>
      <c r="B31" s="27">
        <v>44276</v>
      </c>
      <c r="C31" s="39"/>
      <c r="D31" s="39"/>
      <c r="E31" s="39" t="str">
        <f>IF(T_Fichar[[#This Row],[Día]]="","",UPPER(TEXT(T_Fichar[[#This Row],[Día]],"MMMM")))</f>
        <v>MARZO</v>
      </c>
      <c r="F31" s="29"/>
      <c r="G31" s="29"/>
      <c r="H31"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1" s="29"/>
      <c r="J31" s="29"/>
      <c r="K31"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1" s="36" t="str">
        <f>IFERROR(IF(T_Fichar[[#This Row],[Total Descanso]]="",T_Fichar[Horas Trabajadas],T_Fichar[[#This Row],[Horas Trabajadas]]-T_Fichar[[#This Row],[Total Descanso]]),"")</f>
        <v/>
      </c>
    </row>
    <row r="32" spans="1:12" x14ac:dyDescent="0.2">
      <c r="A32">
        <v>22</v>
      </c>
      <c r="B32" s="27">
        <v>44277</v>
      </c>
      <c r="C32" s="39"/>
      <c r="D32" s="39"/>
      <c r="E32" s="39" t="str">
        <f>IF(T_Fichar[[#This Row],[Día]]="","",UPPER(TEXT(T_Fichar[[#This Row],[Día]],"MMMM")))</f>
        <v>MARZO</v>
      </c>
      <c r="F32" s="29"/>
      <c r="G32" s="29"/>
      <c r="H32"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2" s="29"/>
      <c r="J32" s="29"/>
      <c r="K32"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2" s="36" t="str">
        <f>IFERROR(IF(T_Fichar[[#This Row],[Total Descanso]]="",T_Fichar[Horas Trabajadas],T_Fichar[[#This Row],[Horas Trabajadas]]-T_Fichar[[#This Row],[Total Descanso]]),"")</f>
        <v/>
      </c>
    </row>
    <row r="33" spans="1:12" x14ac:dyDescent="0.2">
      <c r="A33">
        <v>23</v>
      </c>
      <c r="B33" s="27">
        <v>44278</v>
      </c>
      <c r="C33" s="39"/>
      <c r="D33" s="39"/>
      <c r="E33" s="39" t="str">
        <f>IF(T_Fichar[[#This Row],[Día]]="","",UPPER(TEXT(T_Fichar[[#This Row],[Día]],"MMMM")))</f>
        <v>MARZO</v>
      </c>
      <c r="F33" s="29"/>
      <c r="G33" s="29"/>
      <c r="H33"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3" s="29"/>
      <c r="J33" s="29"/>
      <c r="K33"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3" s="36" t="str">
        <f>IFERROR(IF(T_Fichar[[#This Row],[Total Descanso]]="",T_Fichar[Horas Trabajadas],T_Fichar[[#This Row],[Horas Trabajadas]]-T_Fichar[[#This Row],[Total Descanso]]),"")</f>
        <v/>
      </c>
    </row>
    <row r="34" spans="1:12" x14ac:dyDescent="0.2">
      <c r="A34">
        <v>24</v>
      </c>
      <c r="B34" s="27">
        <v>44279</v>
      </c>
      <c r="C34" s="39"/>
      <c r="D34" s="39"/>
      <c r="E34" s="39" t="str">
        <f>IF(T_Fichar[[#This Row],[Día]]="","",UPPER(TEXT(T_Fichar[[#This Row],[Día]],"MMMM")))</f>
        <v>MARZO</v>
      </c>
      <c r="F34" s="29"/>
      <c r="G34" s="29"/>
      <c r="H34"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4" s="29"/>
      <c r="J34" s="29"/>
      <c r="K34"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4" s="36" t="str">
        <f>IFERROR(IF(T_Fichar[[#This Row],[Total Descanso]]="",T_Fichar[Horas Trabajadas],T_Fichar[[#This Row],[Horas Trabajadas]]-T_Fichar[[#This Row],[Total Descanso]]),"")</f>
        <v/>
      </c>
    </row>
    <row r="35" spans="1:12" x14ac:dyDescent="0.2">
      <c r="A35">
        <v>25</v>
      </c>
      <c r="B35" s="27">
        <v>44280</v>
      </c>
      <c r="C35" s="39"/>
      <c r="D35" s="39"/>
      <c r="E35" s="39" t="str">
        <f>IF(T_Fichar[[#This Row],[Día]]="","",UPPER(TEXT(T_Fichar[[#This Row],[Día]],"MMMM")))</f>
        <v>MARZO</v>
      </c>
      <c r="F35" s="29"/>
      <c r="G35" s="29"/>
      <c r="H35"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5" s="29"/>
      <c r="J35" s="29"/>
      <c r="K35"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5" s="36" t="str">
        <f>IFERROR(IF(T_Fichar[[#This Row],[Total Descanso]]="",T_Fichar[Horas Trabajadas],T_Fichar[[#This Row],[Horas Trabajadas]]-T_Fichar[[#This Row],[Total Descanso]]),"")</f>
        <v/>
      </c>
    </row>
    <row r="36" spans="1:12" x14ac:dyDescent="0.2">
      <c r="A36">
        <v>26</v>
      </c>
      <c r="B36" s="27">
        <v>44281</v>
      </c>
      <c r="C36" s="39"/>
      <c r="D36" s="39"/>
      <c r="E36" s="39" t="str">
        <f>IF(T_Fichar[[#This Row],[Día]]="","",UPPER(TEXT(T_Fichar[[#This Row],[Día]],"MMMM")))</f>
        <v>MARZO</v>
      </c>
      <c r="F36" s="29"/>
      <c r="G36" s="29"/>
      <c r="H36"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6" s="29"/>
      <c r="J36" s="29"/>
      <c r="K36"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6" s="36" t="str">
        <f>IFERROR(IF(T_Fichar[[#This Row],[Total Descanso]]="",T_Fichar[Horas Trabajadas],T_Fichar[[#This Row],[Horas Trabajadas]]-T_Fichar[[#This Row],[Total Descanso]]),"")</f>
        <v/>
      </c>
    </row>
    <row r="37" spans="1:12" x14ac:dyDescent="0.2">
      <c r="A37">
        <v>27</v>
      </c>
      <c r="B37" s="27">
        <v>44282</v>
      </c>
      <c r="C37" s="39"/>
      <c r="D37" s="39"/>
      <c r="E37" s="39" t="str">
        <f>IF(T_Fichar[[#This Row],[Día]]="","",UPPER(TEXT(T_Fichar[[#This Row],[Día]],"MMMM")))</f>
        <v>MARZO</v>
      </c>
      <c r="F37" s="29"/>
      <c r="G37" s="29"/>
      <c r="H37"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7" s="29"/>
      <c r="J37" s="29"/>
      <c r="K37"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7" s="36" t="str">
        <f>IFERROR(IF(T_Fichar[[#This Row],[Total Descanso]]="",T_Fichar[Horas Trabajadas],T_Fichar[[#This Row],[Horas Trabajadas]]-T_Fichar[[#This Row],[Total Descanso]]),"")</f>
        <v/>
      </c>
    </row>
    <row r="38" spans="1:12" x14ac:dyDescent="0.2">
      <c r="A38">
        <v>28</v>
      </c>
      <c r="B38" s="27">
        <v>44283</v>
      </c>
      <c r="C38" s="39"/>
      <c r="D38" s="39"/>
      <c r="E38" s="39" t="str">
        <f>IF(T_Fichar[[#This Row],[Día]]="","",UPPER(TEXT(T_Fichar[[#This Row],[Día]],"MMMM")))</f>
        <v>MARZO</v>
      </c>
      <c r="F38" s="29"/>
      <c r="G38" s="29"/>
      <c r="H38"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8" s="29"/>
      <c r="J38" s="29"/>
      <c r="K38"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8" s="36" t="str">
        <f>IFERROR(IF(T_Fichar[[#This Row],[Total Descanso]]="",T_Fichar[Horas Trabajadas],T_Fichar[[#This Row],[Horas Trabajadas]]-T_Fichar[[#This Row],[Total Descanso]]),"")</f>
        <v/>
      </c>
    </row>
    <row r="39" spans="1:12" x14ac:dyDescent="0.2">
      <c r="A39">
        <v>29</v>
      </c>
      <c r="B39" s="27">
        <v>44284</v>
      </c>
      <c r="C39" s="39"/>
      <c r="D39" s="39"/>
      <c r="E39" s="39" t="str">
        <f>IF(T_Fichar[[#This Row],[Día]]="","",UPPER(TEXT(T_Fichar[[#This Row],[Día]],"MMMM")))</f>
        <v>MARZO</v>
      </c>
      <c r="F39" s="29"/>
      <c r="G39" s="29"/>
      <c r="H39"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39" s="29"/>
      <c r="J39" s="29"/>
      <c r="K39"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39" s="36" t="str">
        <f>IFERROR(IF(T_Fichar[[#This Row],[Total Descanso]]="",T_Fichar[Horas Trabajadas],T_Fichar[[#This Row],[Horas Trabajadas]]-T_Fichar[[#This Row],[Total Descanso]]),"")</f>
        <v/>
      </c>
    </row>
    <row r="40" spans="1:12" x14ac:dyDescent="0.2">
      <c r="A40">
        <v>30</v>
      </c>
      <c r="B40" s="27">
        <v>44285</v>
      </c>
      <c r="C40" s="39"/>
      <c r="D40" s="39"/>
      <c r="E40" s="39" t="str">
        <f>IF(T_Fichar[[#This Row],[Día]]="","",UPPER(TEXT(T_Fichar[[#This Row],[Día]],"MMMM")))</f>
        <v>MARZO</v>
      </c>
      <c r="F40" s="29"/>
      <c r="G40" s="29"/>
      <c r="H40"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40" s="29"/>
      <c r="J40" s="29"/>
      <c r="K40"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40" s="36" t="str">
        <f>IFERROR(IF(T_Fichar[[#This Row],[Total Descanso]]="",T_Fichar[Horas Trabajadas],T_Fichar[[#This Row],[Horas Trabajadas]]-T_Fichar[[#This Row],[Total Descanso]]),"")</f>
        <v/>
      </c>
    </row>
    <row r="41" spans="1:12" ht="15.75" thickBot="1" x14ac:dyDescent="0.25">
      <c r="A41">
        <v>31</v>
      </c>
      <c r="B41" s="27">
        <v>44286</v>
      </c>
      <c r="C41" s="39"/>
      <c r="D41" s="39"/>
      <c r="E41" s="39" t="str">
        <f>IF(T_Fichar[[#This Row],[Día]]="","",UPPER(TEXT(T_Fichar[[#This Row],[Día]],"MMMM")))</f>
        <v>MARZO</v>
      </c>
      <c r="F41" s="29"/>
      <c r="G41" s="29"/>
      <c r="H41" s="33" t="str">
        <f>IFERROR(IF(OR(T_Fichar[[#This Row],[Hora de Salida]]="",T_Fichar[[#This Row],[Hora de Entrada]]=""),"",IF(T_Fichar[[#This Row],[Hora de Entrada]]&gt;T_Fichar[[#This Row],[Hora de Salida]],(1-T_Fichar[[#This Row],[Hora de Entrada]])+(T_Fichar[[#This Row],[Hora de Salida]]),T_Fichar[[#This Row],[Hora de Salida]]-T_Fichar[[#This Row],[Hora de Entrada]])),"")</f>
        <v/>
      </c>
      <c r="I41" s="29"/>
      <c r="J41" s="29"/>
      <c r="K41" s="33" t="str">
        <f>IFERROR(IF(OR(T_Fichar[[#This Row],[Salida Descanso]]="",T_Fichar[[#This Row],[Regreso Descanso]]=""),"",IF(T_Fichar[[#This Row],[Salida Descanso]]&gt;T_Fichar[[#This Row],[Regreso Descanso]],(1-T_Fichar[[#This Row],[Salida Descanso]])+T_Fichar[[#This Row],[Regreso Descanso]],T_Fichar[[#This Row],[Regreso Descanso]]-T_Fichar[[#This Row],[Salida Descanso]])),"")</f>
        <v/>
      </c>
      <c r="L41" s="36" t="str">
        <f>IFERROR(IF(T_Fichar[[#This Row],[Total Descanso]]="",T_Fichar[Horas Trabajadas],T_Fichar[[#This Row],[Horas Trabajadas]]-T_Fichar[[#This Row],[Total Descanso]]),"")</f>
        <v/>
      </c>
    </row>
    <row r="42" spans="1:12" ht="19.5" thickTop="1" x14ac:dyDescent="0.2">
      <c r="B42" s="41" t="s">
        <v>5</v>
      </c>
      <c r="C42" s="37"/>
      <c r="D42" s="37"/>
      <c r="E42" s="37"/>
      <c r="F42" s="30"/>
      <c r="G42" s="30"/>
      <c r="H42" s="34">
        <f>SUBTOTAL(109,T_Fichar[Horas Trabajadas])</f>
        <v>0.27083333333333337</v>
      </c>
      <c r="I42" s="37"/>
      <c r="J42" s="34"/>
      <c r="K42" s="34">
        <f>SUBTOTAL(109,T_Fichar[Total Descanso])</f>
        <v>0</v>
      </c>
      <c r="L42" s="38">
        <f>SUBTOTAL(109,T_Fichar[Total Horas menos Descanso])</f>
        <v>0.27083333333333337</v>
      </c>
    </row>
    <row r="53" spans="2:7" x14ac:dyDescent="0.2">
      <c r="B53" s="31" t="s">
        <v>18</v>
      </c>
      <c r="C53" s="31"/>
      <c r="D53" s="31"/>
      <c r="E53" s="31"/>
      <c r="F53" s="31"/>
      <c r="G53" s="31"/>
    </row>
  </sheetData>
  <sheetProtection insertRows="0" deleteRows="0" autoFilter="0" pivotTables="0"/>
  <mergeCells count="2">
    <mergeCell ref="C4:F4"/>
    <mergeCell ref="H4:J4"/>
  </mergeCells>
  <phoneticPr fontId="5" alignment="center"/>
  <dataValidations count="2">
    <dataValidation type="time" allowBlank="1" showInputMessage="1" showErrorMessage="1" errorTitle="Error en el formato" error="Escribe horas y minutos_x000a_HH:MM" promptTitle="Rellena Horas y Minutos" prompt="Formato HH:MM" sqref="I11:J41 F11:G41" xr:uid="{9DE11911-908B-44F7-8D91-A2A0810525B0}">
      <formula1>0</formula1>
      <formula2>0.999305555555556</formula2>
    </dataValidation>
    <dataValidation type="date" allowBlank="1" showInputMessage="1" showErrorMessage="1" errorTitle="Error al escribir la fecha" error="Formato DD/MM/AAAA_x000a_" promptTitle="Escribe la fecha de trabajo" prompt="Formato DD/MM/AAAA_x000a_" sqref="B11:D41" xr:uid="{AD2EFA6B-09C3-491F-AB9F-BD2F67210A12}">
      <formula1>43101</formula1>
      <formula2>55153</formula2>
    </dataValidation>
  </dataValidations>
  <pageMargins left="0.7" right="0.7" top="0.75" bottom="0.75" header="0.3" footer="0.3"/>
  <pageSetup paperSize="9" orientation="portrait" horizontalDpi="300"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2F9D0-AFFF-B34D-B919-B9A4638306B6}">
  <dimension ref="A4:L53"/>
  <sheetViews>
    <sheetView showGridLines="0" tabSelected="1" topLeftCell="G1" workbookViewId="0">
      <pane ySplit="10" topLeftCell="G11" activePane="bottomLeft" state="frozen"/>
      <selection activeCell="F1" sqref="F1"/>
      <selection pane="bottomLeft" activeCell="G12" sqref="G12"/>
    </sheetView>
  </sheetViews>
  <sheetFormatPr defaultColWidth="10.76171875" defaultRowHeight="15" x14ac:dyDescent="0.2"/>
  <cols>
    <col min="2" max="2" width="12.64453125" style="10" bestFit="1" customWidth="1"/>
    <col min="3" max="3" width="10.76171875" style="4"/>
    <col min="4" max="4" width="11.97265625" style="4" customWidth="1"/>
    <col min="5" max="5" width="10.76171875" style="4"/>
    <col min="6" max="6" width="15.06640625" style="13" customWidth="1"/>
    <col min="7" max="7" width="13.85546875" style="13" customWidth="1"/>
    <col min="8" max="8" width="14.796875" style="3" customWidth="1"/>
    <col min="9" max="10" width="14.796875" style="10" customWidth="1"/>
    <col min="11" max="12" width="14.796875" style="4" customWidth="1"/>
  </cols>
  <sheetData>
    <row r="4" spans="1:12" x14ac:dyDescent="0.2">
      <c r="B4" s="24" t="s">
        <v>17</v>
      </c>
      <c r="C4" s="48" t="s">
        <v>21</v>
      </c>
      <c r="D4" s="48"/>
      <c r="E4" s="48"/>
      <c r="F4" s="48"/>
      <c r="I4" s="3" t="s">
        <v>12</v>
      </c>
    </row>
    <row r="5" spans="1:12" x14ac:dyDescent="0.2">
      <c r="B5" s="24" t="s">
        <v>13</v>
      </c>
      <c r="D5" s="24" t="s">
        <v>22</v>
      </c>
      <c r="H5" s="20" t="s">
        <v>14</v>
      </c>
      <c r="I5" s="19" t="s">
        <v>20</v>
      </c>
    </row>
    <row r="6" spans="1:12" x14ac:dyDescent="0.2">
      <c r="B6" s="24"/>
      <c r="C6" s="24"/>
      <c r="H6" s="20" t="s">
        <v>15</v>
      </c>
      <c r="I6" s="10" t="s">
        <v>19</v>
      </c>
    </row>
    <row r="7" spans="1:12" x14ac:dyDescent="0.2">
      <c r="B7" s="24"/>
      <c r="C7" s="24"/>
      <c r="H7" s="20" t="s">
        <v>26</v>
      </c>
      <c r="I7" s="10">
        <v>700</v>
      </c>
    </row>
    <row r="8" spans="1:12" x14ac:dyDescent="0.2">
      <c r="B8" s="24"/>
      <c r="C8" s="24"/>
      <c r="D8" s="24"/>
      <c r="H8" s="20" t="s">
        <v>16</v>
      </c>
      <c r="I8" s="26">
        <v>44287</v>
      </c>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9">
        <v>44287</v>
      </c>
      <c r="C11" s="6"/>
      <c r="D11" s="25"/>
      <c r="E11" s="6" t="str">
        <f>IF(T_Fichar345678910[[#This Row],[Día]]="","",UPPER(TEXT(T_Fichar345678910[[#This Row],[Día]],"MMMM")))</f>
        <v>ABRIL</v>
      </c>
      <c r="F11" s="12"/>
      <c r="G11" s="12"/>
      <c r="H11"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11" s="12"/>
      <c r="J11" s="12"/>
      <c r="K11"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11" s="2" t="str">
        <f>IFERROR(IF(T_Fichar345678910[[#This Row],[Total Descanso]]="",T_Fichar345678910[Horas Trabajadas],T_Fichar345678910[[#This Row],[Horas Trabajadas]]-T_Fichar345678910[[#This Row],[Total Descanso]]),"")</f>
        <v/>
      </c>
    </row>
    <row r="12" spans="1:12" x14ac:dyDescent="0.2">
      <c r="A12">
        <v>2</v>
      </c>
      <c r="B12" s="9">
        <v>44288</v>
      </c>
      <c r="C12" s="6"/>
      <c r="D12" s="6"/>
      <c r="E12" s="6" t="str">
        <f>IF(T_Fichar345678910[[#This Row],[Día]]="","",UPPER(TEXT(T_Fichar345678910[[#This Row],[Día]],"MMMM")))</f>
        <v>ABRIL</v>
      </c>
      <c r="F12" s="12">
        <v>0.15972222222222224</v>
      </c>
      <c r="G12" s="12">
        <v>0.3263888888888889</v>
      </c>
      <c r="H12" s="1">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0.16666666666666666</v>
      </c>
      <c r="I12" s="12"/>
      <c r="J12" s="12"/>
      <c r="K12"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12" s="2">
        <f>IFERROR(IF(T_Fichar345678910[[#This Row],[Total Descanso]]="",T_Fichar345678910[Horas Trabajadas],T_Fichar345678910[[#This Row],[Horas Trabajadas]]-T_Fichar345678910[[#This Row],[Total Descanso]]),"")</f>
        <v>0.16666666666666666</v>
      </c>
    </row>
    <row r="13" spans="1:12" x14ac:dyDescent="0.2">
      <c r="A13">
        <v>3</v>
      </c>
      <c r="B13" s="9">
        <v>44289</v>
      </c>
      <c r="C13" s="6"/>
      <c r="D13" s="6"/>
      <c r="E13" s="6" t="str">
        <f>IF(T_Fichar345678910[[#This Row],[Día]]="","",UPPER(TEXT(T_Fichar345678910[[#This Row],[Día]],"MMMM")))</f>
        <v>ABRIL</v>
      </c>
      <c r="F13" s="12"/>
      <c r="G13" s="12"/>
      <c r="H13"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13" s="12"/>
      <c r="J13" s="12"/>
      <c r="K13"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13" s="2" t="str">
        <f>IFERROR(IF(T_Fichar345678910[[#This Row],[Total Descanso]]="",T_Fichar345678910[Horas Trabajadas],T_Fichar345678910[[#This Row],[Horas Trabajadas]]-T_Fichar345678910[[#This Row],[Total Descanso]]),"")</f>
        <v/>
      </c>
    </row>
    <row r="14" spans="1:12" x14ac:dyDescent="0.2">
      <c r="A14">
        <v>4</v>
      </c>
      <c r="B14" s="9">
        <v>44290</v>
      </c>
      <c r="C14" s="6"/>
      <c r="D14" s="6"/>
      <c r="E14" s="6" t="str">
        <f>IF(T_Fichar345678910[[#This Row],[Día]]="","",UPPER(TEXT(T_Fichar345678910[[#This Row],[Día]],"MMMM")))</f>
        <v>ABRIL</v>
      </c>
      <c r="F14" s="12"/>
      <c r="G14" s="12"/>
      <c r="H14"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14" s="12"/>
      <c r="J14" s="12"/>
      <c r="K14"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14" s="2" t="str">
        <f>IFERROR(IF(T_Fichar345678910[[#This Row],[Total Descanso]]="",T_Fichar345678910[Horas Trabajadas],T_Fichar345678910[[#This Row],[Horas Trabajadas]]-T_Fichar345678910[[#This Row],[Total Descanso]]),"")</f>
        <v/>
      </c>
    </row>
    <row r="15" spans="1:12" x14ac:dyDescent="0.2">
      <c r="A15">
        <v>5</v>
      </c>
      <c r="B15" s="9">
        <v>44291</v>
      </c>
      <c r="C15" s="6"/>
      <c r="D15" s="6"/>
      <c r="E15" s="6" t="str">
        <f>IF(T_Fichar345678910[[#This Row],[Día]]="","",UPPER(TEXT(T_Fichar345678910[[#This Row],[Día]],"MMMM")))</f>
        <v>ABRIL</v>
      </c>
      <c r="F15" s="12"/>
      <c r="G15" s="12"/>
      <c r="H15"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15" s="12"/>
      <c r="J15" s="12"/>
      <c r="K15"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15" s="2" t="str">
        <f>IFERROR(IF(T_Fichar345678910[[#This Row],[Total Descanso]]="",T_Fichar345678910[Horas Trabajadas],T_Fichar345678910[[#This Row],[Horas Trabajadas]]-T_Fichar345678910[[#This Row],[Total Descanso]]),"")</f>
        <v/>
      </c>
    </row>
    <row r="16" spans="1:12" x14ac:dyDescent="0.2">
      <c r="A16">
        <v>6</v>
      </c>
      <c r="B16" s="9">
        <v>44292</v>
      </c>
      <c r="C16" s="6"/>
      <c r="D16" s="6"/>
      <c r="E16" s="6" t="str">
        <f>IF(T_Fichar345678910[[#This Row],[Día]]="","",UPPER(TEXT(T_Fichar345678910[[#This Row],[Día]],"MMMM")))</f>
        <v>ABRIL</v>
      </c>
      <c r="F16" s="12"/>
      <c r="G16" s="12"/>
      <c r="H16" s="1"/>
      <c r="I16" s="12"/>
      <c r="J16" s="12"/>
      <c r="K16" s="1"/>
      <c r="L16" s="2"/>
    </row>
    <row r="17" spans="1:12" x14ac:dyDescent="0.2">
      <c r="A17">
        <v>7</v>
      </c>
      <c r="B17" s="9">
        <v>44293</v>
      </c>
      <c r="C17" s="6"/>
      <c r="D17" s="6"/>
      <c r="E17" s="6" t="str">
        <f>IF(T_Fichar345678910[[#This Row],[Día]]="","",UPPER(TEXT(T_Fichar345678910[[#This Row],[Día]],"MMMM")))</f>
        <v>ABRIL</v>
      </c>
      <c r="F17" s="12"/>
      <c r="G17" s="12"/>
      <c r="H17"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17" s="12"/>
      <c r="J17" s="12"/>
      <c r="K17"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17" s="2" t="str">
        <f>IFERROR(IF(T_Fichar345678910[[#This Row],[Total Descanso]]="",T_Fichar345678910[Horas Trabajadas],T_Fichar345678910[[#This Row],[Horas Trabajadas]]-T_Fichar345678910[[#This Row],[Total Descanso]]),"")</f>
        <v/>
      </c>
    </row>
    <row r="18" spans="1:12" x14ac:dyDescent="0.2">
      <c r="A18">
        <v>8</v>
      </c>
      <c r="B18" s="9">
        <v>44294</v>
      </c>
      <c r="C18" s="6"/>
      <c r="D18" s="6"/>
      <c r="E18" s="6" t="str">
        <f>IF(T_Fichar345678910[[#This Row],[Día]]="","",UPPER(TEXT(T_Fichar345678910[[#This Row],[Día]],"MMMM")))</f>
        <v>ABRIL</v>
      </c>
      <c r="F18" s="12"/>
      <c r="G18" s="12"/>
      <c r="H18"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18" s="12"/>
      <c r="J18" s="12"/>
      <c r="K18"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18" s="2" t="str">
        <f>IFERROR(IF(T_Fichar345678910[[#This Row],[Total Descanso]]="",T_Fichar345678910[Horas Trabajadas],T_Fichar345678910[[#This Row],[Horas Trabajadas]]-T_Fichar345678910[[#This Row],[Total Descanso]]),"")</f>
        <v/>
      </c>
    </row>
    <row r="19" spans="1:12" x14ac:dyDescent="0.2">
      <c r="A19">
        <v>9</v>
      </c>
      <c r="B19" s="9">
        <v>44295</v>
      </c>
      <c r="C19" s="6"/>
      <c r="D19" s="6"/>
      <c r="E19" s="6" t="str">
        <f>IF(T_Fichar345678910[[#This Row],[Día]]="","",UPPER(TEXT(T_Fichar345678910[[#This Row],[Día]],"MMMM")))</f>
        <v>ABRIL</v>
      </c>
      <c r="F19" s="12"/>
      <c r="G19" s="12"/>
      <c r="H19"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19" s="12"/>
      <c r="J19" s="12"/>
      <c r="K19"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19" s="2" t="str">
        <f>IFERROR(IF(T_Fichar345678910[[#This Row],[Total Descanso]]="",T_Fichar345678910[Horas Trabajadas],T_Fichar345678910[[#This Row],[Horas Trabajadas]]-T_Fichar345678910[[#This Row],[Total Descanso]]),"")</f>
        <v/>
      </c>
    </row>
    <row r="20" spans="1:12" x14ac:dyDescent="0.2">
      <c r="A20">
        <v>10</v>
      </c>
      <c r="B20" s="9">
        <v>44296</v>
      </c>
      <c r="C20" s="6"/>
      <c r="D20" s="6"/>
      <c r="E20" s="6" t="str">
        <f>IF(T_Fichar345678910[[#This Row],[Día]]="","",UPPER(TEXT(T_Fichar345678910[[#This Row],[Día]],"MMMM")))</f>
        <v>ABRIL</v>
      </c>
      <c r="F20" s="12"/>
      <c r="G20" s="12"/>
      <c r="H20"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0" s="12"/>
      <c r="J20" s="12"/>
      <c r="K20"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0" s="2" t="str">
        <f>IFERROR(IF(T_Fichar345678910[[#This Row],[Total Descanso]]="",T_Fichar345678910[Horas Trabajadas],T_Fichar345678910[[#This Row],[Horas Trabajadas]]-T_Fichar345678910[[#This Row],[Total Descanso]]),"")</f>
        <v/>
      </c>
    </row>
    <row r="21" spans="1:12" x14ac:dyDescent="0.2">
      <c r="A21">
        <v>11</v>
      </c>
      <c r="B21" s="9">
        <v>44297</v>
      </c>
      <c r="C21" s="6"/>
      <c r="D21" s="6"/>
      <c r="E21" s="6" t="str">
        <f>IF(T_Fichar345678910[[#This Row],[Día]]="","",UPPER(TEXT(T_Fichar345678910[[#This Row],[Día]],"MMMM")))</f>
        <v>ABRIL</v>
      </c>
      <c r="F21" s="12"/>
      <c r="G21" s="12"/>
      <c r="H21"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1" s="12"/>
      <c r="J21" s="12"/>
      <c r="K21"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1" s="2" t="str">
        <f>IFERROR(IF(T_Fichar345678910[[#This Row],[Total Descanso]]="",T_Fichar345678910[Horas Trabajadas],T_Fichar345678910[[#This Row],[Horas Trabajadas]]-T_Fichar345678910[[#This Row],[Total Descanso]]),"")</f>
        <v/>
      </c>
    </row>
    <row r="22" spans="1:12" x14ac:dyDescent="0.2">
      <c r="A22">
        <v>12</v>
      </c>
      <c r="B22" s="9">
        <v>44298</v>
      </c>
      <c r="C22" s="6"/>
      <c r="D22" s="6"/>
      <c r="E22" s="6" t="str">
        <f>IF(T_Fichar345678910[[#This Row],[Día]]="","",UPPER(TEXT(T_Fichar345678910[[#This Row],[Día]],"MMMM")))</f>
        <v>ABRIL</v>
      </c>
      <c r="F22" s="12"/>
      <c r="G22" s="12"/>
      <c r="H22"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2" s="12"/>
      <c r="J22" s="12"/>
      <c r="K22"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2" s="2" t="str">
        <f>IFERROR(IF(T_Fichar345678910[[#This Row],[Total Descanso]]="",T_Fichar345678910[Horas Trabajadas],T_Fichar345678910[[#This Row],[Horas Trabajadas]]-T_Fichar345678910[[#This Row],[Total Descanso]]),"")</f>
        <v/>
      </c>
    </row>
    <row r="23" spans="1:12" x14ac:dyDescent="0.2">
      <c r="A23">
        <v>13</v>
      </c>
      <c r="B23" s="9">
        <v>44299</v>
      </c>
      <c r="C23" s="6"/>
      <c r="D23" s="6"/>
      <c r="E23" s="6" t="str">
        <f>IF(T_Fichar345678910[[#This Row],[Día]]="","",UPPER(TEXT(T_Fichar345678910[[#This Row],[Día]],"MMMM")))</f>
        <v>ABRIL</v>
      </c>
      <c r="F23" s="12"/>
      <c r="G23" s="12"/>
      <c r="H23"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3" s="12"/>
      <c r="J23" s="12"/>
      <c r="K23"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3" s="2" t="str">
        <f>IFERROR(IF(T_Fichar345678910[[#This Row],[Total Descanso]]="",T_Fichar345678910[Horas Trabajadas],T_Fichar345678910[[#This Row],[Horas Trabajadas]]-T_Fichar345678910[[#This Row],[Total Descanso]]),"")</f>
        <v/>
      </c>
    </row>
    <row r="24" spans="1:12" x14ac:dyDescent="0.2">
      <c r="A24">
        <v>14</v>
      </c>
      <c r="B24" s="9">
        <v>44300</v>
      </c>
      <c r="C24" s="6"/>
      <c r="D24" s="6"/>
      <c r="E24" s="6" t="str">
        <f>IF(T_Fichar345678910[[#This Row],[Día]]="","",UPPER(TEXT(T_Fichar345678910[[#This Row],[Día]],"MMMM")))</f>
        <v>ABRIL</v>
      </c>
      <c r="F24" s="12"/>
      <c r="G24" s="12"/>
      <c r="H24"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4" s="12"/>
      <c r="J24" s="12"/>
      <c r="K24"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4" s="2" t="str">
        <f>IFERROR(IF(T_Fichar345678910[[#This Row],[Total Descanso]]="",T_Fichar345678910[Horas Trabajadas],T_Fichar345678910[[#This Row],[Horas Trabajadas]]-T_Fichar345678910[[#This Row],[Total Descanso]]),"")</f>
        <v/>
      </c>
    </row>
    <row r="25" spans="1:12" x14ac:dyDescent="0.2">
      <c r="A25">
        <v>15</v>
      </c>
      <c r="B25" s="9">
        <v>44301</v>
      </c>
      <c r="C25" s="6"/>
      <c r="D25" s="6"/>
      <c r="E25" s="6" t="str">
        <f>IF(T_Fichar345678910[[#This Row],[Día]]="","",UPPER(TEXT(T_Fichar345678910[[#This Row],[Día]],"MMMM")))</f>
        <v>ABRIL</v>
      </c>
      <c r="F25" s="12"/>
      <c r="G25" s="12"/>
      <c r="H25"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5" s="12"/>
      <c r="J25" s="12"/>
      <c r="K25"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5" s="2" t="str">
        <f>IFERROR(IF(T_Fichar345678910[[#This Row],[Total Descanso]]="",T_Fichar345678910[Horas Trabajadas],T_Fichar345678910[[#This Row],[Horas Trabajadas]]-T_Fichar345678910[[#This Row],[Total Descanso]]),"")</f>
        <v/>
      </c>
    </row>
    <row r="26" spans="1:12" x14ac:dyDescent="0.2">
      <c r="A26">
        <v>16</v>
      </c>
      <c r="B26" s="9">
        <v>44302</v>
      </c>
      <c r="C26" s="6"/>
      <c r="D26" s="6"/>
      <c r="E26" s="6" t="str">
        <f>IF(T_Fichar345678910[[#This Row],[Día]]="","",UPPER(TEXT(T_Fichar345678910[[#This Row],[Día]],"MMMM")))</f>
        <v>ABRIL</v>
      </c>
      <c r="F26" s="12"/>
      <c r="G26" s="12"/>
      <c r="H26"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6" s="12"/>
      <c r="J26" s="12"/>
      <c r="K26"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6" s="2" t="str">
        <f>IFERROR(IF(T_Fichar345678910[[#This Row],[Total Descanso]]="",T_Fichar345678910[Horas Trabajadas],T_Fichar345678910[[#This Row],[Horas Trabajadas]]-T_Fichar345678910[[#This Row],[Total Descanso]]),"")</f>
        <v/>
      </c>
    </row>
    <row r="27" spans="1:12" x14ac:dyDescent="0.2">
      <c r="A27">
        <v>17</v>
      </c>
      <c r="B27" s="9">
        <v>44303</v>
      </c>
      <c r="C27" s="6"/>
      <c r="D27" s="6"/>
      <c r="E27" s="6" t="str">
        <f>IF(T_Fichar345678910[[#This Row],[Día]]="","",UPPER(TEXT(T_Fichar345678910[[#This Row],[Día]],"MMMM")))</f>
        <v>ABRIL</v>
      </c>
      <c r="F27" s="12"/>
      <c r="G27" s="12"/>
      <c r="H27"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7" s="12"/>
      <c r="J27" s="12"/>
      <c r="K27"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7" s="2" t="str">
        <f>IFERROR(IF(T_Fichar345678910[[#This Row],[Total Descanso]]="",T_Fichar345678910[Horas Trabajadas],T_Fichar345678910[[#This Row],[Horas Trabajadas]]-T_Fichar345678910[[#This Row],[Total Descanso]]),"")</f>
        <v/>
      </c>
    </row>
    <row r="28" spans="1:12" x14ac:dyDescent="0.2">
      <c r="A28">
        <v>18</v>
      </c>
      <c r="B28" s="9">
        <v>44304</v>
      </c>
      <c r="C28" s="6"/>
      <c r="D28" s="6"/>
      <c r="E28" s="6" t="str">
        <f>IF(T_Fichar345678910[[#This Row],[Día]]="","",UPPER(TEXT(T_Fichar345678910[[#This Row],[Día]],"MMMM")))</f>
        <v>ABRIL</v>
      </c>
      <c r="F28" s="12"/>
      <c r="G28" s="12"/>
      <c r="H28"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8" s="12"/>
      <c r="J28" s="12"/>
      <c r="K28"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8" s="2" t="str">
        <f>IFERROR(IF(T_Fichar345678910[[#This Row],[Total Descanso]]="",T_Fichar345678910[Horas Trabajadas],T_Fichar345678910[[#This Row],[Horas Trabajadas]]-T_Fichar345678910[[#This Row],[Total Descanso]]),"")</f>
        <v/>
      </c>
    </row>
    <row r="29" spans="1:12" x14ac:dyDescent="0.2">
      <c r="A29">
        <v>19</v>
      </c>
      <c r="B29" s="9">
        <v>44305</v>
      </c>
      <c r="C29" s="6"/>
      <c r="D29" s="6"/>
      <c r="E29" s="6" t="str">
        <f>IF(T_Fichar345678910[[#This Row],[Día]]="","",UPPER(TEXT(T_Fichar345678910[[#This Row],[Día]],"MMMM")))</f>
        <v>ABRIL</v>
      </c>
      <c r="F29" s="12"/>
      <c r="G29" s="12"/>
      <c r="H29"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29" s="12"/>
      <c r="J29" s="12"/>
      <c r="K29"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29" s="2" t="str">
        <f>IFERROR(IF(T_Fichar345678910[[#This Row],[Total Descanso]]="",T_Fichar345678910[Horas Trabajadas],T_Fichar345678910[[#This Row],[Horas Trabajadas]]-T_Fichar345678910[[#This Row],[Total Descanso]]),"")</f>
        <v/>
      </c>
    </row>
    <row r="30" spans="1:12" x14ac:dyDescent="0.2">
      <c r="A30">
        <v>20</v>
      </c>
      <c r="B30" s="9">
        <v>44306</v>
      </c>
      <c r="C30" s="6"/>
      <c r="D30" s="6"/>
      <c r="E30" s="6" t="str">
        <f>IF(T_Fichar345678910[[#This Row],[Día]]="","",UPPER(TEXT(T_Fichar345678910[[#This Row],[Día]],"MMMM")))</f>
        <v>ABRIL</v>
      </c>
      <c r="F30" s="12"/>
      <c r="G30" s="12"/>
      <c r="H30"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0" s="12"/>
      <c r="J30" s="12"/>
      <c r="K30"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0" s="2" t="str">
        <f>IFERROR(IF(T_Fichar345678910[[#This Row],[Total Descanso]]="",T_Fichar345678910[Horas Trabajadas],T_Fichar345678910[[#This Row],[Horas Trabajadas]]-T_Fichar345678910[[#This Row],[Total Descanso]]),"")</f>
        <v/>
      </c>
    </row>
    <row r="31" spans="1:12" x14ac:dyDescent="0.2">
      <c r="A31">
        <v>21</v>
      </c>
      <c r="B31" s="9">
        <v>44307</v>
      </c>
      <c r="C31" s="6"/>
      <c r="D31" s="6"/>
      <c r="E31" s="6" t="str">
        <f>IF(T_Fichar345678910[[#This Row],[Día]]="","",UPPER(TEXT(T_Fichar345678910[[#This Row],[Día]],"MMMM")))</f>
        <v>ABRIL</v>
      </c>
      <c r="F31" s="12"/>
      <c r="G31" s="12"/>
      <c r="H31"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1" s="12"/>
      <c r="J31" s="12"/>
      <c r="K31"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1" s="2" t="str">
        <f>IFERROR(IF(T_Fichar345678910[[#This Row],[Total Descanso]]="",T_Fichar345678910[Horas Trabajadas],T_Fichar345678910[[#This Row],[Horas Trabajadas]]-T_Fichar345678910[[#This Row],[Total Descanso]]),"")</f>
        <v/>
      </c>
    </row>
    <row r="32" spans="1:12" x14ac:dyDescent="0.2">
      <c r="A32">
        <v>22</v>
      </c>
      <c r="B32" s="9">
        <v>44308</v>
      </c>
      <c r="C32" s="6"/>
      <c r="D32" s="6"/>
      <c r="E32" s="6" t="str">
        <f>IF(T_Fichar345678910[[#This Row],[Día]]="","",UPPER(TEXT(T_Fichar345678910[[#This Row],[Día]],"MMMM")))</f>
        <v>ABRIL</v>
      </c>
      <c r="F32" s="12"/>
      <c r="G32" s="12"/>
      <c r="H32"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2" s="12"/>
      <c r="J32" s="12"/>
      <c r="K32"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2" s="2" t="str">
        <f>IFERROR(IF(T_Fichar345678910[[#This Row],[Total Descanso]]="",T_Fichar345678910[Horas Trabajadas],T_Fichar345678910[[#This Row],[Horas Trabajadas]]-T_Fichar345678910[[#This Row],[Total Descanso]]),"")</f>
        <v/>
      </c>
    </row>
    <row r="33" spans="1:12" x14ac:dyDescent="0.2">
      <c r="A33">
        <v>23</v>
      </c>
      <c r="B33" s="9">
        <v>44309</v>
      </c>
      <c r="C33" s="6"/>
      <c r="D33" s="6"/>
      <c r="E33" s="6" t="str">
        <f>IF(T_Fichar345678910[[#This Row],[Día]]="","",UPPER(TEXT(T_Fichar345678910[[#This Row],[Día]],"MMMM")))</f>
        <v>ABRIL</v>
      </c>
      <c r="F33" s="12"/>
      <c r="G33" s="12"/>
      <c r="H33"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3" s="12"/>
      <c r="J33" s="12"/>
      <c r="K33"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3" s="2" t="str">
        <f>IFERROR(IF(T_Fichar345678910[[#This Row],[Total Descanso]]="",T_Fichar345678910[Horas Trabajadas],T_Fichar345678910[[#This Row],[Horas Trabajadas]]-T_Fichar345678910[[#This Row],[Total Descanso]]),"")</f>
        <v/>
      </c>
    </row>
    <row r="34" spans="1:12" x14ac:dyDescent="0.2">
      <c r="A34">
        <v>24</v>
      </c>
      <c r="B34" s="9">
        <v>44310</v>
      </c>
      <c r="C34" s="6"/>
      <c r="D34" s="6"/>
      <c r="E34" s="6" t="str">
        <f>IF(T_Fichar345678910[[#This Row],[Día]]="","",UPPER(TEXT(T_Fichar345678910[[#This Row],[Día]],"MMMM")))</f>
        <v>ABRIL</v>
      </c>
      <c r="F34" s="12"/>
      <c r="G34" s="12"/>
      <c r="H34"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4" s="12"/>
      <c r="J34" s="12"/>
      <c r="K34"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4" s="2" t="str">
        <f>IFERROR(IF(T_Fichar345678910[[#This Row],[Total Descanso]]="",T_Fichar345678910[Horas Trabajadas],T_Fichar345678910[[#This Row],[Horas Trabajadas]]-T_Fichar345678910[[#This Row],[Total Descanso]]),"")</f>
        <v/>
      </c>
    </row>
    <row r="35" spans="1:12" x14ac:dyDescent="0.2">
      <c r="A35">
        <v>25</v>
      </c>
      <c r="B35" s="9">
        <v>44311</v>
      </c>
      <c r="C35" s="6"/>
      <c r="D35" s="6"/>
      <c r="E35" s="6" t="str">
        <f>IF(T_Fichar345678910[[#This Row],[Día]]="","",UPPER(TEXT(T_Fichar345678910[[#This Row],[Día]],"MMMM")))</f>
        <v>ABRIL</v>
      </c>
      <c r="F35" s="12"/>
      <c r="G35" s="12"/>
      <c r="H35"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5" s="12"/>
      <c r="J35" s="12"/>
      <c r="K35"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5" s="2" t="str">
        <f>IFERROR(IF(T_Fichar345678910[[#This Row],[Total Descanso]]="",T_Fichar345678910[Horas Trabajadas],T_Fichar345678910[[#This Row],[Horas Trabajadas]]-T_Fichar345678910[[#This Row],[Total Descanso]]),"")</f>
        <v/>
      </c>
    </row>
    <row r="36" spans="1:12" x14ac:dyDescent="0.2">
      <c r="A36">
        <v>26</v>
      </c>
      <c r="B36" s="9">
        <v>44312</v>
      </c>
      <c r="C36" s="6"/>
      <c r="D36" s="6"/>
      <c r="E36" s="6" t="str">
        <f>IF(T_Fichar345678910[[#This Row],[Día]]="","",UPPER(TEXT(T_Fichar345678910[[#This Row],[Día]],"MMMM")))</f>
        <v>ABRIL</v>
      </c>
      <c r="F36" s="12"/>
      <c r="G36" s="12"/>
      <c r="H36"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6" s="12"/>
      <c r="J36" s="12"/>
      <c r="K36"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6" s="2" t="str">
        <f>IFERROR(IF(T_Fichar345678910[[#This Row],[Total Descanso]]="",T_Fichar345678910[Horas Trabajadas],T_Fichar345678910[[#This Row],[Horas Trabajadas]]-T_Fichar345678910[[#This Row],[Total Descanso]]),"")</f>
        <v/>
      </c>
    </row>
    <row r="37" spans="1:12" x14ac:dyDescent="0.2">
      <c r="A37">
        <v>27</v>
      </c>
      <c r="B37" s="9">
        <v>44313</v>
      </c>
      <c r="C37" s="6"/>
      <c r="D37" s="6"/>
      <c r="E37" s="6" t="str">
        <f>IF(T_Fichar345678910[[#This Row],[Día]]="","",UPPER(TEXT(T_Fichar345678910[[#This Row],[Día]],"MMMM")))</f>
        <v>ABRIL</v>
      </c>
      <c r="F37" s="12"/>
      <c r="G37" s="12"/>
      <c r="H37"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7" s="12"/>
      <c r="J37" s="12"/>
      <c r="K37"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7" s="2" t="str">
        <f>IFERROR(IF(T_Fichar345678910[[#This Row],[Total Descanso]]="",T_Fichar345678910[Horas Trabajadas],T_Fichar345678910[[#This Row],[Horas Trabajadas]]-T_Fichar345678910[[#This Row],[Total Descanso]]),"")</f>
        <v/>
      </c>
    </row>
    <row r="38" spans="1:12" x14ac:dyDescent="0.2">
      <c r="A38">
        <v>28</v>
      </c>
      <c r="B38" s="9">
        <v>44314</v>
      </c>
      <c r="C38" s="6"/>
      <c r="D38" s="6"/>
      <c r="E38" s="6" t="str">
        <f>IF(T_Fichar345678910[[#This Row],[Día]]="","",UPPER(TEXT(T_Fichar345678910[[#This Row],[Día]],"MMMM")))</f>
        <v>ABRIL</v>
      </c>
      <c r="F38" s="12"/>
      <c r="G38" s="12"/>
      <c r="H38"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8" s="12"/>
      <c r="J38" s="12"/>
      <c r="K38"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8" s="2" t="str">
        <f>IFERROR(IF(T_Fichar345678910[[#This Row],[Total Descanso]]="",T_Fichar345678910[Horas Trabajadas],T_Fichar345678910[[#This Row],[Horas Trabajadas]]-T_Fichar345678910[[#This Row],[Total Descanso]]),"")</f>
        <v/>
      </c>
    </row>
    <row r="39" spans="1:12" x14ac:dyDescent="0.2">
      <c r="A39">
        <v>29</v>
      </c>
      <c r="B39" s="9">
        <v>44315</v>
      </c>
      <c r="C39" s="6"/>
      <c r="D39" s="6"/>
      <c r="E39" s="6" t="str">
        <f>IF(T_Fichar345678910[[#This Row],[Día]]="","",UPPER(TEXT(T_Fichar345678910[[#This Row],[Día]],"MMMM")))</f>
        <v>ABRIL</v>
      </c>
      <c r="F39" s="12"/>
      <c r="G39" s="12"/>
      <c r="H39"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39" s="12"/>
      <c r="J39" s="12"/>
      <c r="K39"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39" s="2" t="str">
        <f>IFERROR(IF(T_Fichar345678910[[#This Row],[Total Descanso]]="",T_Fichar345678910[Horas Trabajadas],T_Fichar345678910[[#This Row],[Horas Trabajadas]]-T_Fichar345678910[[#This Row],[Total Descanso]]),"")</f>
        <v/>
      </c>
    </row>
    <row r="40" spans="1:12" x14ac:dyDescent="0.2">
      <c r="A40">
        <v>30</v>
      </c>
      <c r="B40" s="9">
        <v>44316</v>
      </c>
      <c r="C40" s="6"/>
      <c r="D40" s="6"/>
      <c r="E40" s="6" t="str">
        <f>IF(T_Fichar345678910[[#This Row],[Día]]="","",UPPER(TEXT(T_Fichar345678910[[#This Row],[Día]],"MMMM")))</f>
        <v>ABRIL</v>
      </c>
      <c r="F40" s="12"/>
      <c r="G40" s="12"/>
      <c r="H40"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40" s="12"/>
      <c r="J40" s="12"/>
      <c r="K40"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40" s="2" t="str">
        <f>IFERROR(IF(T_Fichar345678910[[#This Row],[Total Descanso]]="",T_Fichar345678910[Horas Trabajadas],T_Fichar345678910[[#This Row],[Horas Trabajadas]]-T_Fichar345678910[[#This Row],[Total Descanso]]),"")</f>
        <v/>
      </c>
    </row>
    <row r="41" spans="1:12" ht="15.75" thickBot="1" x14ac:dyDescent="0.25">
      <c r="A41">
        <v>31</v>
      </c>
      <c r="B41" s="9"/>
      <c r="C41" s="6"/>
      <c r="D41" s="6"/>
      <c r="E41" s="6" t="str">
        <f>IF(T_Fichar345678910[[#This Row],[Día]]="","",UPPER(TEXT(T_Fichar345678910[[#This Row],[Día]],"MMMM")))</f>
        <v/>
      </c>
      <c r="F41" s="12"/>
      <c r="G41" s="12"/>
      <c r="H41" s="1" t="str">
        <f>IFERROR(IF(OR(T_Fichar345678910[[#This Row],[Hora de Salida]]="",T_Fichar345678910[[#This Row],[Hora de Entrada]]=""),"",IF(T_Fichar345678910[[#This Row],[Hora de Entrada]]&gt;T_Fichar345678910[[#This Row],[Hora de Salida]],(1-T_Fichar345678910[[#This Row],[Hora de Entrada]])+(T_Fichar345678910[[#This Row],[Hora de Salida]]),T_Fichar345678910[[#This Row],[Hora de Salida]]-T_Fichar345678910[[#This Row],[Hora de Entrada]])),"")</f>
        <v/>
      </c>
      <c r="I41" s="12"/>
      <c r="J41" s="12"/>
      <c r="K41" s="1" t="str">
        <f>IFERROR(IF(OR(T_Fichar345678910[[#This Row],[Salida Descanso]]="",T_Fichar345678910[[#This Row],[Regreso Descanso]]=""),"",IF(T_Fichar345678910[[#This Row],[Salida Descanso]]&gt;T_Fichar345678910[[#This Row],[Regreso Descanso]],(1-T_Fichar345678910[[#This Row],[Salida Descanso]])+T_Fichar345678910[[#This Row],[Regreso Descanso]],T_Fichar345678910[[#This Row],[Regreso Descanso]]-T_Fichar345678910[[#This Row],[Salida Descanso]])),"")</f>
        <v/>
      </c>
      <c r="L41" s="2" t="str">
        <f>IFERROR(IF(T_Fichar345678910[[#This Row],[Total Descanso]]="",T_Fichar345678910[Horas Trabajadas],T_Fichar345678910[[#This Row],[Horas Trabajadas]]-T_Fichar345678910[[#This Row],[Total Descanso]]),"")</f>
        <v/>
      </c>
    </row>
    <row r="42" spans="1:12" ht="19.5" thickTop="1" x14ac:dyDescent="0.2">
      <c r="B42" s="14" t="s">
        <v>5</v>
      </c>
      <c r="C42" s="15"/>
      <c r="D42" s="15"/>
      <c r="E42" s="15"/>
      <c r="F42" s="16"/>
      <c r="G42" s="16"/>
      <c r="H42" s="17">
        <f>SUBTOTAL(109,T_Fichar345678910[Horas Trabajadas])</f>
        <v>0.16666666666666666</v>
      </c>
      <c r="I42" s="15"/>
      <c r="J42" s="17"/>
      <c r="K42" s="17">
        <f>SUBTOTAL(109,T_Fichar345678910[Total Descanso])</f>
        <v>0</v>
      </c>
      <c r="L42" s="18">
        <f>SUBTOTAL(109,T_Fichar345678910[Total Horas menos Descanso])</f>
        <v>0.16666666666666666</v>
      </c>
    </row>
    <row r="53" spans="2:12" x14ac:dyDescent="0.2">
      <c r="B53" s="22" t="s">
        <v>18</v>
      </c>
      <c r="C53" s="22"/>
      <c r="D53" s="22"/>
      <c r="E53" s="22"/>
      <c r="F53" s="22"/>
      <c r="G53" s="22"/>
      <c r="H53" s="21"/>
      <c r="I53" s="22"/>
      <c r="J53" s="22"/>
      <c r="K53" s="23"/>
      <c r="L53" s="23"/>
    </row>
  </sheetData>
  <sheetProtection insertRows="0" deleteRows="0" autoFilter="0" pivotTables="0"/>
  <mergeCells count="1">
    <mergeCell ref="C4:F4"/>
  </mergeCells>
  <phoneticPr fontId="5" alignment="center"/>
  <dataValidations count="2">
    <dataValidation type="time" allowBlank="1" showInputMessage="1" showErrorMessage="1" errorTitle="Error en el formato" error="Escribe horas y minutos_x000a_HH:MM" promptTitle="Rellena Horas y Minutos" prompt="Formato HH:MM" sqref="I11:J41 F11:G41" xr:uid="{9B405881-580F-B048-90F5-496C3F882E20}">
      <formula1>0</formula1>
      <formula2>0.999305555555556</formula2>
    </dataValidation>
    <dataValidation type="date" allowBlank="1" showInputMessage="1" showErrorMessage="1" errorTitle="Error al escribir la fecha" error="Formato DD/MM/AAAA_x000a_" promptTitle="Escribe la fecha de trabajo" prompt="Formato DD/MM/AAAA_x000a_" sqref="B11:D41" xr:uid="{EEF3B71E-CCA6-614A-AA22-C4D7AB96C9D4}">
      <formula1>43101</formula1>
      <formula2>55153</formula2>
    </dataValidation>
  </dataValidations>
  <pageMargins left="0.7" right="0.7" top="0.75" bottom="0.75" header="0.3" footer="0.3"/>
  <pageSetup paperSize="9" orientation="portrait" horizontalDpi="300" verticalDpi="3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9C324-EB58-8C43-B358-2DC6003C1A15}">
  <dimension ref="A4:L53"/>
  <sheetViews>
    <sheetView showGridLines="0" topLeftCell="J1" workbookViewId="0">
      <pane ySplit="10" topLeftCell="J16" activePane="bottomLeft" state="frozen"/>
      <selection activeCell="F1" sqref="F1"/>
      <selection pane="bottomLeft" activeCell="H7" sqref="H7"/>
    </sheetView>
  </sheetViews>
  <sheetFormatPr defaultColWidth="10.76171875" defaultRowHeight="15" x14ac:dyDescent="0.2"/>
  <cols>
    <col min="2" max="2" width="12.64453125" style="10" bestFit="1" customWidth="1"/>
    <col min="3" max="3" width="10.76171875" style="4"/>
    <col min="4" max="4" width="11.97265625" style="4" customWidth="1"/>
    <col min="5" max="5" width="10.76171875" style="4"/>
    <col min="6" max="6" width="15.06640625" style="13" customWidth="1"/>
    <col min="7" max="7" width="13.85546875" style="13" customWidth="1"/>
    <col min="8" max="8" width="14.796875" style="3" customWidth="1"/>
    <col min="9" max="10" width="14.796875" style="10" customWidth="1"/>
    <col min="11" max="12" width="14.796875" style="4" customWidth="1"/>
  </cols>
  <sheetData>
    <row r="4" spans="1:12" x14ac:dyDescent="0.2">
      <c r="B4" s="24" t="s">
        <v>17</v>
      </c>
      <c r="C4" s="48" t="s">
        <v>21</v>
      </c>
      <c r="D4" s="48"/>
      <c r="E4" s="48"/>
      <c r="F4" s="48"/>
      <c r="I4" s="3" t="s">
        <v>12</v>
      </c>
    </row>
    <row r="5" spans="1:12" x14ac:dyDescent="0.2">
      <c r="B5" s="24" t="s">
        <v>13</v>
      </c>
      <c r="D5" s="24" t="s">
        <v>22</v>
      </c>
      <c r="H5" s="20" t="s">
        <v>14</v>
      </c>
      <c r="I5" s="19" t="s">
        <v>20</v>
      </c>
    </row>
    <row r="6" spans="1:12" x14ac:dyDescent="0.2">
      <c r="B6" s="24"/>
      <c r="C6" s="24"/>
      <c r="H6" s="20" t="s">
        <v>15</v>
      </c>
      <c r="I6" s="10" t="s">
        <v>19</v>
      </c>
    </row>
    <row r="7" spans="1:12" x14ac:dyDescent="0.2">
      <c r="B7" s="24"/>
      <c r="C7" s="24"/>
      <c r="H7" s="20" t="s">
        <v>26</v>
      </c>
      <c r="I7" s="10">
        <v>700</v>
      </c>
    </row>
    <row r="8" spans="1:12" x14ac:dyDescent="0.2">
      <c r="B8" s="24"/>
      <c r="C8" s="24"/>
      <c r="D8" s="24"/>
      <c r="H8" s="20" t="s">
        <v>16</v>
      </c>
      <c r="I8" s="26">
        <v>44317</v>
      </c>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9">
        <v>44317</v>
      </c>
      <c r="C11" s="6"/>
      <c r="D11" s="25"/>
      <c r="E11" s="6" t="str">
        <f>IF(T_Fichar3456789[[#This Row],[Día]]="","",UPPER(TEXT(T_Fichar3456789[[#This Row],[Día]],"MMMM")))</f>
        <v>MAYO</v>
      </c>
      <c r="F11" s="12"/>
      <c r="G11" s="12"/>
      <c r="H11"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11" s="12"/>
      <c r="J11" s="12"/>
      <c r="K11"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11" s="2" t="str">
        <f>IFERROR(IF(T_Fichar3456789[[#This Row],[Total Descanso]]="",T_Fichar3456789[Horas Trabajadas],T_Fichar3456789[[#This Row],[Horas Trabajadas]]-T_Fichar3456789[[#This Row],[Total Descanso]]),"")</f>
        <v/>
      </c>
    </row>
    <row r="12" spans="1:12" x14ac:dyDescent="0.2">
      <c r="A12">
        <v>2</v>
      </c>
      <c r="B12" s="9">
        <v>44318</v>
      </c>
      <c r="C12" s="6"/>
      <c r="D12" s="6"/>
      <c r="E12" s="6" t="str">
        <f>IF(T_Fichar3456789[[#This Row],[Día]]="","",UPPER(TEXT(T_Fichar3456789[[#This Row],[Día]],"MMMM")))</f>
        <v>MAYO</v>
      </c>
      <c r="F12" s="12"/>
      <c r="G12" s="12"/>
      <c r="H12"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12" s="12"/>
      <c r="J12" s="12"/>
      <c r="K12"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12" s="2" t="str">
        <f>IFERROR(IF(T_Fichar3456789[[#This Row],[Total Descanso]]="",T_Fichar3456789[Horas Trabajadas],T_Fichar3456789[[#This Row],[Horas Trabajadas]]-T_Fichar3456789[[#This Row],[Total Descanso]]),"")</f>
        <v/>
      </c>
    </row>
    <row r="13" spans="1:12" x14ac:dyDescent="0.2">
      <c r="A13">
        <v>3</v>
      </c>
      <c r="B13" s="9">
        <v>44319</v>
      </c>
      <c r="C13" s="6"/>
      <c r="D13" s="6"/>
      <c r="E13" s="6" t="str">
        <f>IF(T_Fichar3456789[[#This Row],[Día]]="","",UPPER(TEXT(T_Fichar3456789[[#This Row],[Día]],"MMMM")))</f>
        <v>MAYO</v>
      </c>
      <c r="F13" s="12"/>
      <c r="G13" s="12"/>
      <c r="H13"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13" s="12"/>
      <c r="J13" s="12"/>
      <c r="K13"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13" s="2" t="str">
        <f>IFERROR(IF(T_Fichar3456789[[#This Row],[Total Descanso]]="",T_Fichar3456789[Horas Trabajadas],T_Fichar3456789[[#This Row],[Horas Trabajadas]]-T_Fichar3456789[[#This Row],[Total Descanso]]),"")</f>
        <v/>
      </c>
    </row>
    <row r="14" spans="1:12" x14ac:dyDescent="0.2">
      <c r="A14">
        <v>4</v>
      </c>
      <c r="B14" s="9">
        <v>44320</v>
      </c>
      <c r="C14" s="6"/>
      <c r="D14" s="6"/>
      <c r="E14" s="6" t="str">
        <f>IF(T_Fichar3456789[[#This Row],[Día]]="","",UPPER(TEXT(T_Fichar3456789[[#This Row],[Día]],"MMMM")))</f>
        <v>MAYO</v>
      </c>
      <c r="F14" s="12"/>
      <c r="G14" s="12"/>
      <c r="H14"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14" s="12"/>
      <c r="J14" s="12"/>
      <c r="K14"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14" s="2" t="str">
        <f>IFERROR(IF(T_Fichar3456789[[#This Row],[Total Descanso]]="",T_Fichar3456789[Horas Trabajadas],T_Fichar3456789[[#This Row],[Horas Trabajadas]]-T_Fichar3456789[[#This Row],[Total Descanso]]),"")</f>
        <v/>
      </c>
    </row>
    <row r="15" spans="1:12" x14ac:dyDescent="0.2">
      <c r="A15">
        <v>5</v>
      </c>
      <c r="B15" s="9">
        <v>44321</v>
      </c>
      <c r="C15" s="6"/>
      <c r="D15" s="6"/>
      <c r="E15" s="6" t="str">
        <f>IF(T_Fichar3456789[[#This Row],[Día]]="","",UPPER(TEXT(T_Fichar3456789[[#This Row],[Día]],"MMMM")))</f>
        <v>MAYO</v>
      </c>
      <c r="F15" s="12"/>
      <c r="G15" s="12"/>
      <c r="H15"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15" s="12"/>
      <c r="J15" s="12"/>
      <c r="K15"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15" s="2" t="str">
        <f>IFERROR(IF(T_Fichar3456789[[#This Row],[Total Descanso]]="",T_Fichar3456789[Horas Trabajadas],T_Fichar3456789[[#This Row],[Horas Trabajadas]]-T_Fichar3456789[[#This Row],[Total Descanso]]),"")</f>
        <v/>
      </c>
    </row>
    <row r="16" spans="1:12" x14ac:dyDescent="0.2">
      <c r="A16">
        <v>6</v>
      </c>
      <c r="B16" s="9">
        <v>44322</v>
      </c>
      <c r="C16" s="6"/>
      <c r="D16" s="6"/>
      <c r="E16" s="6" t="str">
        <f>IF(T_Fichar3456789[[#This Row],[Día]]="","",UPPER(TEXT(T_Fichar3456789[[#This Row],[Día]],"MMMM")))</f>
        <v>MAYO</v>
      </c>
      <c r="F16" s="12"/>
      <c r="G16" s="12"/>
      <c r="H16" s="1"/>
      <c r="I16" s="12"/>
      <c r="J16" s="12"/>
      <c r="K16" s="1"/>
      <c r="L16" s="2"/>
    </row>
    <row r="17" spans="1:12" x14ac:dyDescent="0.2">
      <c r="A17">
        <v>7</v>
      </c>
      <c r="B17" s="9">
        <v>44323</v>
      </c>
      <c r="C17" s="6"/>
      <c r="D17" s="6"/>
      <c r="E17" s="6" t="str">
        <f>IF(T_Fichar3456789[[#This Row],[Día]]="","",UPPER(TEXT(T_Fichar3456789[[#This Row],[Día]],"MMMM")))</f>
        <v>MAYO</v>
      </c>
      <c r="F17" s="12"/>
      <c r="G17" s="12"/>
      <c r="H17"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17" s="12"/>
      <c r="J17" s="12"/>
      <c r="K17"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17" s="2" t="str">
        <f>IFERROR(IF(T_Fichar3456789[[#This Row],[Total Descanso]]="",T_Fichar3456789[Horas Trabajadas],T_Fichar3456789[[#This Row],[Horas Trabajadas]]-T_Fichar3456789[[#This Row],[Total Descanso]]),"")</f>
        <v/>
      </c>
    </row>
    <row r="18" spans="1:12" x14ac:dyDescent="0.2">
      <c r="A18">
        <v>8</v>
      </c>
      <c r="B18" s="9">
        <v>44324</v>
      </c>
      <c r="C18" s="6"/>
      <c r="D18" s="6"/>
      <c r="E18" s="6" t="str">
        <f>IF(T_Fichar3456789[[#This Row],[Día]]="","",UPPER(TEXT(T_Fichar3456789[[#This Row],[Día]],"MMMM")))</f>
        <v>MAYO</v>
      </c>
      <c r="F18" s="12"/>
      <c r="G18" s="12"/>
      <c r="H18"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18" s="12"/>
      <c r="J18" s="12"/>
      <c r="K18"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18" s="2" t="str">
        <f>IFERROR(IF(T_Fichar3456789[[#This Row],[Total Descanso]]="",T_Fichar3456789[Horas Trabajadas],T_Fichar3456789[[#This Row],[Horas Trabajadas]]-T_Fichar3456789[[#This Row],[Total Descanso]]),"")</f>
        <v/>
      </c>
    </row>
    <row r="19" spans="1:12" x14ac:dyDescent="0.2">
      <c r="A19">
        <v>9</v>
      </c>
      <c r="B19" s="9">
        <v>44325</v>
      </c>
      <c r="C19" s="6"/>
      <c r="D19" s="6"/>
      <c r="E19" s="6" t="str">
        <f>IF(T_Fichar3456789[[#This Row],[Día]]="","",UPPER(TEXT(T_Fichar3456789[[#This Row],[Día]],"MMMM")))</f>
        <v>MAYO</v>
      </c>
      <c r="F19" s="12"/>
      <c r="G19" s="12"/>
      <c r="H19"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19" s="12"/>
      <c r="J19" s="12"/>
      <c r="K19"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19" s="2" t="str">
        <f>IFERROR(IF(T_Fichar3456789[[#This Row],[Total Descanso]]="",T_Fichar3456789[Horas Trabajadas],T_Fichar3456789[[#This Row],[Horas Trabajadas]]-T_Fichar3456789[[#This Row],[Total Descanso]]),"")</f>
        <v/>
      </c>
    </row>
    <row r="20" spans="1:12" x14ac:dyDescent="0.2">
      <c r="A20">
        <v>10</v>
      </c>
      <c r="B20" s="9">
        <v>44326</v>
      </c>
      <c r="C20" s="6"/>
      <c r="D20" s="6"/>
      <c r="E20" s="6" t="str">
        <f>IF(T_Fichar3456789[[#This Row],[Día]]="","",UPPER(TEXT(T_Fichar3456789[[#This Row],[Día]],"MMMM")))</f>
        <v>MAYO</v>
      </c>
      <c r="F20" s="12"/>
      <c r="G20" s="12"/>
      <c r="H20"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0" s="12"/>
      <c r="J20" s="12"/>
      <c r="K20"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0" s="2" t="str">
        <f>IFERROR(IF(T_Fichar3456789[[#This Row],[Total Descanso]]="",T_Fichar3456789[Horas Trabajadas],T_Fichar3456789[[#This Row],[Horas Trabajadas]]-T_Fichar3456789[[#This Row],[Total Descanso]]),"")</f>
        <v/>
      </c>
    </row>
    <row r="21" spans="1:12" x14ac:dyDescent="0.2">
      <c r="A21">
        <v>11</v>
      </c>
      <c r="B21" s="9">
        <v>44327</v>
      </c>
      <c r="C21" s="6"/>
      <c r="D21" s="6"/>
      <c r="E21" s="6" t="str">
        <f>IF(T_Fichar3456789[[#This Row],[Día]]="","",UPPER(TEXT(T_Fichar3456789[[#This Row],[Día]],"MMMM")))</f>
        <v>MAYO</v>
      </c>
      <c r="F21" s="12"/>
      <c r="G21" s="12"/>
      <c r="H21"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1" s="12"/>
      <c r="J21" s="12"/>
      <c r="K21"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1" s="2" t="str">
        <f>IFERROR(IF(T_Fichar3456789[[#This Row],[Total Descanso]]="",T_Fichar3456789[Horas Trabajadas],T_Fichar3456789[[#This Row],[Horas Trabajadas]]-T_Fichar3456789[[#This Row],[Total Descanso]]),"")</f>
        <v/>
      </c>
    </row>
    <row r="22" spans="1:12" x14ac:dyDescent="0.2">
      <c r="A22">
        <v>12</v>
      </c>
      <c r="B22" s="9">
        <v>44328</v>
      </c>
      <c r="C22" s="6"/>
      <c r="D22" s="6"/>
      <c r="E22" s="6" t="str">
        <f>IF(T_Fichar3456789[[#This Row],[Día]]="","",UPPER(TEXT(T_Fichar3456789[[#This Row],[Día]],"MMMM")))</f>
        <v>MAYO</v>
      </c>
      <c r="F22" s="12"/>
      <c r="G22" s="12"/>
      <c r="H22"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2" s="12"/>
      <c r="J22" s="12"/>
      <c r="K22"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2" s="2" t="str">
        <f>IFERROR(IF(T_Fichar3456789[[#This Row],[Total Descanso]]="",T_Fichar3456789[Horas Trabajadas],T_Fichar3456789[[#This Row],[Horas Trabajadas]]-T_Fichar3456789[[#This Row],[Total Descanso]]),"")</f>
        <v/>
      </c>
    </row>
    <row r="23" spans="1:12" x14ac:dyDescent="0.2">
      <c r="A23">
        <v>13</v>
      </c>
      <c r="B23" s="9">
        <v>44329</v>
      </c>
      <c r="C23" s="6"/>
      <c r="D23" s="6"/>
      <c r="E23" s="6" t="str">
        <f>IF(T_Fichar3456789[[#This Row],[Día]]="","",UPPER(TEXT(T_Fichar3456789[[#This Row],[Día]],"MMMM")))</f>
        <v>MAYO</v>
      </c>
      <c r="F23" s="12"/>
      <c r="G23" s="12"/>
      <c r="H23"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3" s="12"/>
      <c r="J23" s="12"/>
      <c r="K23"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3" s="2" t="str">
        <f>IFERROR(IF(T_Fichar3456789[[#This Row],[Total Descanso]]="",T_Fichar3456789[Horas Trabajadas],T_Fichar3456789[[#This Row],[Horas Trabajadas]]-T_Fichar3456789[[#This Row],[Total Descanso]]),"")</f>
        <v/>
      </c>
    </row>
    <row r="24" spans="1:12" x14ac:dyDescent="0.2">
      <c r="A24">
        <v>14</v>
      </c>
      <c r="B24" s="9">
        <v>44330</v>
      </c>
      <c r="C24" s="6"/>
      <c r="D24" s="6"/>
      <c r="E24" s="6" t="str">
        <f>IF(T_Fichar3456789[[#This Row],[Día]]="","",UPPER(TEXT(T_Fichar3456789[[#This Row],[Día]],"MMMM")))</f>
        <v>MAYO</v>
      </c>
      <c r="F24" s="12"/>
      <c r="G24" s="12"/>
      <c r="H24"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4" s="12"/>
      <c r="J24" s="12"/>
      <c r="K24"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4" s="2" t="str">
        <f>IFERROR(IF(T_Fichar3456789[[#This Row],[Total Descanso]]="",T_Fichar3456789[Horas Trabajadas],T_Fichar3456789[[#This Row],[Horas Trabajadas]]-T_Fichar3456789[[#This Row],[Total Descanso]]),"")</f>
        <v/>
      </c>
    </row>
    <row r="25" spans="1:12" x14ac:dyDescent="0.2">
      <c r="A25">
        <v>15</v>
      </c>
      <c r="B25" s="9">
        <v>44331</v>
      </c>
      <c r="C25" s="6"/>
      <c r="D25" s="6"/>
      <c r="E25" s="6" t="str">
        <f>IF(T_Fichar3456789[[#This Row],[Día]]="","",UPPER(TEXT(T_Fichar3456789[[#This Row],[Día]],"MMMM")))</f>
        <v>MAYO</v>
      </c>
      <c r="F25" s="12"/>
      <c r="G25" s="12"/>
      <c r="H25"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5" s="12"/>
      <c r="J25" s="12"/>
      <c r="K25"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5" s="2" t="str">
        <f>IFERROR(IF(T_Fichar3456789[[#This Row],[Total Descanso]]="",T_Fichar3456789[Horas Trabajadas],T_Fichar3456789[[#This Row],[Horas Trabajadas]]-T_Fichar3456789[[#This Row],[Total Descanso]]),"")</f>
        <v/>
      </c>
    </row>
    <row r="26" spans="1:12" x14ac:dyDescent="0.2">
      <c r="A26">
        <v>16</v>
      </c>
      <c r="B26" s="9">
        <v>44332</v>
      </c>
      <c r="C26" s="6"/>
      <c r="D26" s="6"/>
      <c r="E26" s="6" t="str">
        <f>IF(T_Fichar3456789[[#This Row],[Día]]="","",UPPER(TEXT(T_Fichar3456789[[#This Row],[Día]],"MMMM")))</f>
        <v>MAYO</v>
      </c>
      <c r="F26" s="12"/>
      <c r="G26" s="12"/>
      <c r="H26"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6" s="12"/>
      <c r="J26" s="12"/>
      <c r="K26"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6" s="2" t="str">
        <f>IFERROR(IF(T_Fichar3456789[[#This Row],[Total Descanso]]="",T_Fichar3456789[Horas Trabajadas],T_Fichar3456789[[#This Row],[Horas Trabajadas]]-T_Fichar3456789[[#This Row],[Total Descanso]]),"")</f>
        <v/>
      </c>
    </row>
    <row r="27" spans="1:12" x14ac:dyDescent="0.2">
      <c r="A27">
        <v>17</v>
      </c>
      <c r="B27" s="9">
        <v>44333</v>
      </c>
      <c r="C27" s="6"/>
      <c r="D27" s="6"/>
      <c r="E27" s="6" t="str">
        <f>IF(T_Fichar3456789[[#This Row],[Día]]="","",UPPER(TEXT(T_Fichar3456789[[#This Row],[Día]],"MMMM")))</f>
        <v>MAYO</v>
      </c>
      <c r="F27" s="12"/>
      <c r="G27" s="12"/>
      <c r="H27"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7" s="12"/>
      <c r="J27" s="12"/>
      <c r="K27"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7" s="2" t="str">
        <f>IFERROR(IF(T_Fichar3456789[[#This Row],[Total Descanso]]="",T_Fichar3456789[Horas Trabajadas],T_Fichar3456789[[#This Row],[Horas Trabajadas]]-T_Fichar3456789[[#This Row],[Total Descanso]]),"")</f>
        <v/>
      </c>
    </row>
    <row r="28" spans="1:12" x14ac:dyDescent="0.2">
      <c r="A28">
        <v>18</v>
      </c>
      <c r="B28" s="9">
        <v>44334</v>
      </c>
      <c r="C28" s="6"/>
      <c r="D28" s="6"/>
      <c r="E28" s="6" t="str">
        <f>IF(T_Fichar3456789[[#This Row],[Día]]="","",UPPER(TEXT(T_Fichar3456789[[#This Row],[Día]],"MMMM")))</f>
        <v>MAYO</v>
      </c>
      <c r="F28" s="12"/>
      <c r="G28" s="12"/>
      <c r="H28"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8" s="12"/>
      <c r="J28" s="12"/>
      <c r="K28"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8" s="2" t="str">
        <f>IFERROR(IF(T_Fichar3456789[[#This Row],[Total Descanso]]="",T_Fichar3456789[Horas Trabajadas],T_Fichar3456789[[#This Row],[Horas Trabajadas]]-T_Fichar3456789[[#This Row],[Total Descanso]]),"")</f>
        <v/>
      </c>
    </row>
    <row r="29" spans="1:12" x14ac:dyDescent="0.2">
      <c r="A29">
        <v>19</v>
      </c>
      <c r="B29" s="9">
        <v>44335</v>
      </c>
      <c r="C29" s="6"/>
      <c r="D29" s="6"/>
      <c r="E29" s="6" t="str">
        <f>IF(T_Fichar3456789[[#This Row],[Día]]="","",UPPER(TEXT(T_Fichar3456789[[#This Row],[Día]],"MMMM")))</f>
        <v>MAYO</v>
      </c>
      <c r="F29" s="12"/>
      <c r="G29" s="12"/>
      <c r="H29"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29" s="12"/>
      <c r="J29" s="12"/>
      <c r="K29"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29" s="2" t="str">
        <f>IFERROR(IF(T_Fichar3456789[[#This Row],[Total Descanso]]="",T_Fichar3456789[Horas Trabajadas],T_Fichar3456789[[#This Row],[Horas Trabajadas]]-T_Fichar3456789[[#This Row],[Total Descanso]]),"")</f>
        <v/>
      </c>
    </row>
    <row r="30" spans="1:12" x14ac:dyDescent="0.2">
      <c r="A30">
        <v>20</v>
      </c>
      <c r="B30" s="9">
        <v>44336</v>
      </c>
      <c r="C30" s="6"/>
      <c r="D30" s="6"/>
      <c r="E30" s="6" t="str">
        <f>IF(T_Fichar3456789[[#This Row],[Día]]="","",UPPER(TEXT(T_Fichar3456789[[#This Row],[Día]],"MMMM")))</f>
        <v>MAYO</v>
      </c>
      <c r="F30" s="12"/>
      <c r="G30" s="12"/>
      <c r="H30"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0" s="12"/>
      <c r="J30" s="12"/>
      <c r="K30"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0" s="2" t="str">
        <f>IFERROR(IF(T_Fichar3456789[[#This Row],[Total Descanso]]="",T_Fichar3456789[Horas Trabajadas],T_Fichar3456789[[#This Row],[Horas Trabajadas]]-T_Fichar3456789[[#This Row],[Total Descanso]]),"")</f>
        <v/>
      </c>
    </row>
    <row r="31" spans="1:12" x14ac:dyDescent="0.2">
      <c r="A31">
        <v>21</v>
      </c>
      <c r="B31" s="9">
        <v>44337</v>
      </c>
      <c r="C31" s="6"/>
      <c r="D31" s="6"/>
      <c r="E31" s="6" t="str">
        <f>IF(T_Fichar3456789[[#This Row],[Día]]="","",UPPER(TEXT(T_Fichar3456789[[#This Row],[Día]],"MMMM")))</f>
        <v>MAYO</v>
      </c>
      <c r="F31" s="12"/>
      <c r="G31" s="12"/>
      <c r="H31"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1" s="12"/>
      <c r="J31" s="12"/>
      <c r="K31"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1" s="2" t="str">
        <f>IFERROR(IF(T_Fichar3456789[[#This Row],[Total Descanso]]="",T_Fichar3456789[Horas Trabajadas],T_Fichar3456789[[#This Row],[Horas Trabajadas]]-T_Fichar3456789[[#This Row],[Total Descanso]]),"")</f>
        <v/>
      </c>
    </row>
    <row r="32" spans="1:12" x14ac:dyDescent="0.2">
      <c r="A32">
        <v>22</v>
      </c>
      <c r="B32" s="9">
        <v>44338</v>
      </c>
      <c r="C32" s="6"/>
      <c r="D32" s="6"/>
      <c r="E32" s="6" t="str">
        <f>IF(T_Fichar3456789[[#This Row],[Día]]="","",UPPER(TEXT(T_Fichar3456789[[#This Row],[Día]],"MMMM")))</f>
        <v>MAYO</v>
      </c>
      <c r="F32" s="12"/>
      <c r="G32" s="12"/>
      <c r="H32"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2" s="12"/>
      <c r="J32" s="12"/>
      <c r="K32"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2" s="2" t="str">
        <f>IFERROR(IF(T_Fichar3456789[[#This Row],[Total Descanso]]="",T_Fichar3456789[Horas Trabajadas],T_Fichar3456789[[#This Row],[Horas Trabajadas]]-T_Fichar3456789[[#This Row],[Total Descanso]]),"")</f>
        <v/>
      </c>
    </row>
    <row r="33" spans="1:12" x14ac:dyDescent="0.2">
      <c r="A33">
        <v>23</v>
      </c>
      <c r="B33" s="9">
        <v>44339</v>
      </c>
      <c r="C33" s="6"/>
      <c r="D33" s="6"/>
      <c r="E33" s="6" t="str">
        <f>IF(T_Fichar3456789[[#This Row],[Día]]="","",UPPER(TEXT(T_Fichar3456789[[#This Row],[Día]],"MMMM")))</f>
        <v>MAYO</v>
      </c>
      <c r="F33" s="12"/>
      <c r="G33" s="12"/>
      <c r="H33"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3" s="12"/>
      <c r="J33" s="12"/>
      <c r="K33"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3" s="2" t="str">
        <f>IFERROR(IF(T_Fichar3456789[[#This Row],[Total Descanso]]="",T_Fichar3456789[Horas Trabajadas],T_Fichar3456789[[#This Row],[Horas Trabajadas]]-T_Fichar3456789[[#This Row],[Total Descanso]]),"")</f>
        <v/>
      </c>
    </row>
    <row r="34" spans="1:12" x14ac:dyDescent="0.2">
      <c r="A34">
        <v>24</v>
      </c>
      <c r="B34" s="9">
        <v>44340</v>
      </c>
      <c r="C34" s="6"/>
      <c r="D34" s="6"/>
      <c r="E34" s="6" t="str">
        <f>IF(T_Fichar3456789[[#This Row],[Día]]="","",UPPER(TEXT(T_Fichar3456789[[#This Row],[Día]],"MMMM")))</f>
        <v>MAYO</v>
      </c>
      <c r="F34" s="12"/>
      <c r="G34" s="12"/>
      <c r="H34"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4" s="12"/>
      <c r="J34" s="12"/>
      <c r="K34"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4" s="2" t="str">
        <f>IFERROR(IF(T_Fichar3456789[[#This Row],[Total Descanso]]="",T_Fichar3456789[Horas Trabajadas],T_Fichar3456789[[#This Row],[Horas Trabajadas]]-T_Fichar3456789[[#This Row],[Total Descanso]]),"")</f>
        <v/>
      </c>
    </row>
    <row r="35" spans="1:12" x14ac:dyDescent="0.2">
      <c r="A35">
        <v>25</v>
      </c>
      <c r="B35" s="9">
        <v>44341</v>
      </c>
      <c r="C35" s="6"/>
      <c r="D35" s="6"/>
      <c r="E35" s="6" t="str">
        <f>IF(T_Fichar3456789[[#This Row],[Día]]="","",UPPER(TEXT(T_Fichar3456789[[#This Row],[Día]],"MMMM")))</f>
        <v>MAYO</v>
      </c>
      <c r="F35" s="12"/>
      <c r="G35" s="12"/>
      <c r="H35"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5" s="12"/>
      <c r="J35" s="12"/>
      <c r="K35"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5" s="2" t="str">
        <f>IFERROR(IF(T_Fichar3456789[[#This Row],[Total Descanso]]="",T_Fichar3456789[Horas Trabajadas],T_Fichar3456789[[#This Row],[Horas Trabajadas]]-T_Fichar3456789[[#This Row],[Total Descanso]]),"")</f>
        <v/>
      </c>
    </row>
    <row r="36" spans="1:12" x14ac:dyDescent="0.2">
      <c r="A36">
        <v>26</v>
      </c>
      <c r="B36" s="9">
        <v>44342</v>
      </c>
      <c r="C36" s="6"/>
      <c r="D36" s="6"/>
      <c r="E36" s="6" t="str">
        <f>IF(T_Fichar3456789[[#This Row],[Día]]="","",UPPER(TEXT(T_Fichar3456789[[#This Row],[Día]],"MMMM")))</f>
        <v>MAYO</v>
      </c>
      <c r="F36" s="12"/>
      <c r="G36" s="12"/>
      <c r="H36"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6" s="12"/>
      <c r="J36" s="12"/>
      <c r="K36"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6" s="2" t="str">
        <f>IFERROR(IF(T_Fichar3456789[[#This Row],[Total Descanso]]="",T_Fichar3456789[Horas Trabajadas],T_Fichar3456789[[#This Row],[Horas Trabajadas]]-T_Fichar3456789[[#This Row],[Total Descanso]]),"")</f>
        <v/>
      </c>
    </row>
    <row r="37" spans="1:12" x14ac:dyDescent="0.2">
      <c r="A37">
        <v>27</v>
      </c>
      <c r="B37" s="9">
        <v>44343</v>
      </c>
      <c r="C37" s="6"/>
      <c r="D37" s="6"/>
      <c r="E37" s="6" t="str">
        <f>IF(T_Fichar3456789[[#This Row],[Día]]="","",UPPER(TEXT(T_Fichar3456789[[#This Row],[Día]],"MMMM")))</f>
        <v>MAYO</v>
      </c>
      <c r="F37" s="12"/>
      <c r="G37" s="12"/>
      <c r="H37"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7" s="12"/>
      <c r="J37" s="12"/>
      <c r="K37"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7" s="2" t="str">
        <f>IFERROR(IF(T_Fichar3456789[[#This Row],[Total Descanso]]="",T_Fichar3456789[Horas Trabajadas],T_Fichar3456789[[#This Row],[Horas Trabajadas]]-T_Fichar3456789[[#This Row],[Total Descanso]]),"")</f>
        <v/>
      </c>
    </row>
    <row r="38" spans="1:12" x14ac:dyDescent="0.2">
      <c r="A38">
        <v>28</v>
      </c>
      <c r="B38" s="9">
        <v>44344</v>
      </c>
      <c r="C38" s="6"/>
      <c r="D38" s="6"/>
      <c r="E38" s="6" t="str">
        <f>IF(T_Fichar3456789[[#This Row],[Día]]="","",UPPER(TEXT(T_Fichar3456789[[#This Row],[Día]],"MMMM")))</f>
        <v>MAYO</v>
      </c>
      <c r="F38" s="12"/>
      <c r="G38" s="12"/>
      <c r="H38"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8" s="12"/>
      <c r="J38" s="12"/>
      <c r="K38"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8" s="2" t="str">
        <f>IFERROR(IF(T_Fichar3456789[[#This Row],[Total Descanso]]="",T_Fichar3456789[Horas Trabajadas],T_Fichar3456789[[#This Row],[Horas Trabajadas]]-T_Fichar3456789[[#This Row],[Total Descanso]]),"")</f>
        <v/>
      </c>
    </row>
    <row r="39" spans="1:12" x14ac:dyDescent="0.2">
      <c r="A39">
        <v>29</v>
      </c>
      <c r="B39" s="9">
        <v>44345</v>
      </c>
      <c r="C39" s="6"/>
      <c r="D39" s="6"/>
      <c r="E39" s="6" t="str">
        <f>IF(T_Fichar3456789[[#This Row],[Día]]="","",UPPER(TEXT(T_Fichar3456789[[#This Row],[Día]],"MMMM")))</f>
        <v>MAYO</v>
      </c>
      <c r="F39" s="12"/>
      <c r="G39" s="12"/>
      <c r="H39"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39" s="12"/>
      <c r="J39" s="12"/>
      <c r="K39"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39" s="2" t="str">
        <f>IFERROR(IF(T_Fichar3456789[[#This Row],[Total Descanso]]="",T_Fichar3456789[Horas Trabajadas],T_Fichar3456789[[#This Row],[Horas Trabajadas]]-T_Fichar3456789[[#This Row],[Total Descanso]]),"")</f>
        <v/>
      </c>
    </row>
    <row r="40" spans="1:12" x14ac:dyDescent="0.2">
      <c r="A40">
        <v>30</v>
      </c>
      <c r="B40" s="9">
        <v>44346</v>
      </c>
      <c r="C40" s="6"/>
      <c r="D40" s="6"/>
      <c r="E40" s="6" t="str">
        <f>IF(T_Fichar3456789[[#This Row],[Día]]="","",UPPER(TEXT(T_Fichar3456789[[#This Row],[Día]],"MMMM")))</f>
        <v>MAYO</v>
      </c>
      <c r="F40" s="12"/>
      <c r="G40" s="12"/>
      <c r="H40"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40" s="12"/>
      <c r="J40" s="12"/>
      <c r="K40"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40" s="2" t="str">
        <f>IFERROR(IF(T_Fichar3456789[[#This Row],[Total Descanso]]="",T_Fichar3456789[Horas Trabajadas],T_Fichar3456789[[#This Row],[Horas Trabajadas]]-T_Fichar3456789[[#This Row],[Total Descanso]]),"")</f>
        <v/>
      </c>
    </row>
    <row r="41" spans="1:12" ht="15.75" thickBot="1" x14ac:dyDescent="0.25">
      <c r="A41">
        <v>31</v>
      </c>
      <c r="B41" s="9">
        <v>44347</v>
      </c>
      <c r="C41" s="6"/>
      <c r="D41" s="6"/>
      <c r="E41" s="6" t="str">
        <f>IF(T_Fichar3456789[[#This Row],[Día]]="","",UPPER(TEXT(T_Fichar3456789[[#This Row],[Día]],"MMMM")))</f>
        <v>MAYO</v>
      </c>
      <c r="F41" s="12"/>
      <c r="G41" s="12"/>
      <c r="H41" s="1" t="str">
        <f>IFERROR(IF(OR(T_Fichar3456789[[#This Row],[Hora de Salida]]="",T_Fichar3456789[[#This Row],[Hora de Entrada]]=""),"",IF(T_Fichar3456789[[#This Row],[Hora de Entrada]]&gt;T_Fichar3456789[[#This Row],[Hora de Salida]],(1-T_Fichar3456789[[#This Row],[Hora de Entrada]])+(T_Fichar3456789[[#This Row],[Hora de Salida]]),T_Fichar3456789[[#This Row],[Hora de Salida]]-T_Fichar3456789[[#This Row],[Hora de Entrada]])),"")</f>
        <v/>
      </c>
      <c r="I41" s="12"/>
      <c r="J41" s="12"/>
      <c r="K41" s="1" t="str">
        <f>IFERROR(IF(OR(T_Fichar3456789[[#This Row],[Salida Descanso]]="",T_Fichar3456789[[#This Row],[Regreso Descanso]]=""),"",IF(T_Fichar3456789[[#This Row],[Salida Descanso]]&gt;T_Fichar3456789[[#This Row],[Regreso Descanso]],(1-T_Fichar3456789[[#This Row],[Salida Descanso]])+T_Fichar3456789[[#This Row],[Regreso Descanso]],T_Fichar3456789[[#This Row],[Regreso Descanso]]-T_Fichar3456789[[#This Row],[Salida Descanso]])),"")</f>
        <v/>
      </c>
      <c r="L41" s="2" t="str">
        <f>IFERROR(IF(T_Fichar3456789[[#This Row],[Total Descanso]]="",T_Fichar3456789[Horas Trabajadas],T_Fichar3456789[[#This Row],[Horas Trabajadas]]-T_Fichar3456789[[#This Row],[Total Descanso]]),"")</f>
        <v/>
      </c>
    </row>
    <row r="42" spans="1:12" ht="19.5" thickTop="1" x14ac:dyDescent="0.2">
      <c r="B42" s="14" t="s">
        <v>5</v>
      </c>
      <c r="C42" s="15"/>
      <c r="D42" s="15"/>
      <c r="E42" s="15"/>
      <c r="F42" s="16"/>
      <c r="G42" s="16"/>
      <c r="H42" s="17">
        <f>SUBTOTAL(109,T_Fichar3456789[Horas Trabajadas])</f>
        <v>0</v>
      </c>
      <c r="I42" s="15"/>
      <c r="J42" s="17"/>
      <c r="K42" s="17">
        <f>SUBTOTAL(109,T_Fichar3456789[Total Descanso])</f>
        <v>0</v>
      </c>
      <c r="L42" s="18">
        <f>SUBTOTAL(109,T_Fichar3456789[Total Horas menos Descanso])</f>
        <v>0</v>
      </c>
    </row>
    <row r="53" spans="2:12" x14ac:dyDescent="0.2">
      <c r="B53" s="22" t="s">
        <v>18</v>
      </c>
      <c r="C53" s="22"/>
      <c r="D53" s="22"/>
      <c r="E53" s="22"/>
      <c r="F53" s="22"/>
      <c r="G53" s="22"/>
      <c r="H53" s="21"/>
      <c r="I53" s="22"/>
      <c r="J53" s="22"/>
      <c r="K53" s="23"/>
      <c r="L53" s="23"/>
    </row>
  </sheetData>
  <sheetProtection insertRows="0" deleteRows="0" autoFilter="0" pivotTables="0"/>
  <mergeCells count="1">
    <mergeCell ref="C4:F4"/>
  </mergeCells>
  <phoneticPr fontId="5" alignment="center"/>
  <dataValidations count="2">
    <dataValidation type="date" allowBlank="1" showInputMessage="1" showErrorMessage="1" errorTitle="Error al escribir la fecha" error="Formato DD/MM/AAAA_x000a_" promptTitle="Escribe la fecha de trabajo" prompt="Formato DD/MM/AAAA_x000a_" sqref="B11:D41" xr:uid="{791C8DB6-8FEF-2942-91F3-895173996A29}">
      <formula1>43101</formula1>
      <formula2>55153</formula2>
    </dataValidation>
    <dataValidation type="time" allowBlank="1" showInputMessage="1" showErrorMessage="1" errorTitle="Error en el formato" error="Escribe horas y minutos_x000a_HH:MM" promptTitle="Rellena Horas y Minutos" prompt="Formato HH:MM" sqref="I11:J41 F11:G41" xr:uid="{A52F64E9-7351-8547-B8F1-203A7ECD1877}">
      <formula1>0</formula1>
      <formula2>0.999305555555556</formula2>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5BC45-9F92-E945-A326-D1F9FA4E5C03}">
  <dimension ref="A4:L53"/>
  <sheetViews>
    <sheetView showGridLines="0" workbookViewId="0">
      <pane ySplit="10" topLeftCell="A24" activePane="bottomLeft" state="frozen"/>
      <selection activeCell="F1" sqref="F1"/>
      <selection pane="bottomLeft" activeCell="H7" sqref="H7"/>
    </sheetView>
  </sheetViews>
  <sheetFormatPr defaultColWidth="10.76171875" defaultRowHeight="15" x14ac:dyDescent="0.2"/>
  <cols>
    <col min="2" max="2" width="12.64453125" style="10" bestFit="1" customWidth="1"/>
    <col min="3" max="3" width="10.76171875" style="4"/>
    <col min="4" max="4" width="11.97265625" style="4" customWidth="1"/>
    <col min="5" max="5" width="10.76171875" style="4"/>
    <col min="6" max="6" width="15.06640625" style="13" customWidth="1"/>
    <col min="7" max="7" width="13.85546875" style="13" customWidth="1"/>
    <col min="8" max="8" width="14.796875" style="3" customWidth="1"/>
    <col min="9" max="10" width="14.796875" style="10" customWidth="1"/>
    <col min="11" max="12" width="14.796875" style="4" customWidth="1"/>
  </cols>
  <sheetData>
    <row r="4" spans="1:12" x14ac:dyDescent="0.2">
      <c r="B4" s="24" t="s">
        <v>17</v>
      </c>
      <c r="C4" s="48" t="s">
        <v>21</v>
      </c>
      <c r="D4" s="48"/>
      <c r="E4" s="48"/>
      <c r="F4" s="48"/>
      <c r="I4" s="3" t="s">
        <v>12</v>
      </c>
    </row>
    <row r="5" spans="1:12" x14ac:dyDescent="0.2">
      <c r="B5" s="24" t="s">
        <v>13</v>
      </c>
      <c r="D5" s="24" t="s">
        <v>22</v>
      </c>
      <c r="H5" s="20" t="s">
        <v>14</v>
      </c>
      <c r="I5" s="19" t="s">
        <v>20</v>
      </c>
    </row>
    <row r="6" spans="1:12" x14ac:dyDescent="0.2">
      <c r="B6" s="24"/>
      <c r="C6" s="24"/>
      <c r="H6" s="20" t="s">
        <v>15</v>
      </c>
      <c r="I6" s="10" t="s">
        <v>19</v>
      </c>
    </row>
    <row r="7" spans="1:12" x14ac:dyDescent="0.2">
      <c r="B7" s="24"/>
      <c r="C7" s="24"/>
      <c r="H7" s="20" t="s">
        <v>26</v>
      </c>
      <c r="I7" s="10">
        <v>700</v>
      </c>
    </row>
    <row r="8" spans="1:12" x14ac:dyDescent="0.2">
      <c r="B8" s="24"/>
      <c r="C8" s="24"/>
      <c r="D8" s="24"/>
      <c r="H8" s="20" t="s">
        <v>16</v>
      </c>
      <c r="I8" s="26">
        <v>44348</v>
      </c>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9">
        <v>44348</v>
      </c>
      <c r="C11" s="6"/>
      <c r="D11" s="25"/>
      <c r="E11" s="6" t="str">
        <f>IF(T_Fichar345678[[#This Row],[Día]]="","",UPPER(TEXT(T_Fichar345678[[#This Row],[Día]],"MMMM")))</f>
        <v>JUNIO</v>
      </c>
      <c r="F11" s="12"/>
      <c r="G11" s="12"/>
      <c r="H11"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11" s="12"/>
      <c r="J11" s="12"/>
      <c r="K11"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11" s="2" t="str">
        <f>IFERROR(IF(T_Fichar345678[[#This Row],[Total Descanso]]="",T_Fichar345678[Horas Trabajadas],T_Fichar345678[[#This Row],[Horas Trabajadas]]-T_Fichar345678[[#This Row],[Total Descanso]]),"")</f>
        <v/>
      </c>
    </row>
    <row r="12" spans="1:12" x14ac:dyDescent="0.2">
      <c r="A12">
        <v>2</v>
      </c>
      <c r="B12" s="9">
        <v>44349</v>
      </c>
      <c r="C12" s="6"/>
      <c r="D12" s="6"/>
      <c r="E12" s="6" t="str">
        <f>IF(T_Fichar345678[[#This Row],[Día]]="","",UPPER(TEXT(T_Fichar345678[[#This Row],[Día]],"MMMM")))</f>
        <v>JUNIO</v>
      </c>
      <c r="F12" s="12"/>
      <c r="G12" s="12"/>
      <c r="H12"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12" s="12"/>
      <c r="J12" s="12"/>
      <c r="K12"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12" s="2" t="str">
        <f>IFERROR(IF(T_Fichar345678[[#This Row],[Total Descanso]]="",T_Fichar345678[Horas Trabajadas],T_Fichar345678[[#This Row],[Horas Trabajadas]]-T_Fichar345678[[#This Row],[Total Descanso]]),"")</f>
        <v/>
      </c>
    </row>
    <row r="13" spans="1:12" x14ac:dyDescent="0.2">
      <c r="A13">
        <v>3</v>
      </c>
      <c r="B13" s="9">
        <v>44350</v>
      </c>
      <c r="C13" s="6"/>
      <c r="D13" s="6"/>
      <c r="E13" s="6" t="str">
        <f>IF(T_Fichar345678[[#This Row],[Día]]="","",UPPER(TEXT(T_Fichar345678[[#This Row],[Día]],"MMMM")))</f>
        <v>JUNIO</v>
      </c>
      <c r="F13" s="12"/>
      <c r="G13" s="12"/>
      <c r="H13"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13" s="12"/>
      <c r="J13" s="12"/>
      <c r="K13"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13" s="2" t="str">
        <f>IFERROR(IF(T_Fichar345678[[#This Row],[Total Descanso]]="",T_Fichar345678[Horas Trabajadas],T_Fichar345678[[#This Row],[Horas Trabajadas]]-T_Fichar345678[[#This Row],[Total Descanso]]),"")</f>
        <v/>
      </c>
    </row>
    <row r="14" spans="1:12" x14ac:dyDescent="0.2">
      <c r="A14">
        <v>4</v>
      </c>
      <c r="B14" s="9">
        <v>44351</v>
      </c>
      <c r="C14" s="6"/>
      <c r="D14" s="6"/>
      <c r="E14" s="6" t="str">
        <f>IF(T_Fichar345678[[#This Row],[Día]]="","",UPPER(TEXT(T_Fichar345678[[#This Row],[Día]],"MMMM")))</f>
        <v>JUNIO</v>
      </c>
      <c r="F14" s="12"/>
      <c r="G14" s="12"/>
      <c r="H14"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14" s="12"/>
      <c r="J14" s="12"/>
      <c r="K14"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14" s="2" t="str">
        <f>IFERROR(IF(T_Fichar345678[[#This Row],[Total Descanso]]="",T_Fichar345678[Horas Trabajadas],T_Fichar345678[[#This Row],[Horas Trabajadas]]-T_Fichar345678[[#This Row],[Total Descanso]]),"")</f>
        <v/>
      </c>
    </row>
    <row r="15" spans="1:12" x14ac:dyDescent="0.2">
      <c r="A15">
        <v>5</v>
      </c>
      <c r="B15" s="9">
        <v>44352</v>
      </c>
      <c r="C15" s="6"/>
      <c r="D15" s="6"/>
      <c r="E15" s="6" t="str">
        <f>IF(T_Fichar345678[[#This Row],[Día]]="","",UPPER(TEXT(T_Fichar345678[[#This Row],[Día]],"MMMM")))</f>
        <v>JUNIO</v>
      </c>
      <c r="F15" s="12"/>
      <c r="G15" s="12"/>
      <c r="H15"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15" s="12"/>
      <c r="J15" s="12"/>
      <c r="K15"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15" s="2" t="str">
        <f>IFERROR(IF(T_Fichar345678[[#This Row],[Total Descanso]]="",T_Fichar345678[Horas Trabajadas],T_Fichar345678[[#This Row],[Horas Trabajadas]]-T_Fichar345678[[#This Row],[Total Descanso]]),"")</f>
        <v/>
      </c>
    </row>
    <row r="16" spans="1:12" x14ac:dyDescent="0.2">
      <c r="B16" s="9">
        <v>44353</v>
      </c>
      <c r="C16" s="6"/>
      <c r="D16" s="6"/>
      <c r="E16" s="6" t="str">
        <f>IF(T_Fichar345678[[#This Row],[Día]]="","",UPPER(TEXT(T_Fichar345678[[#This Row],[Día]],"MMMM")))</f>
        <v>JUNIO</v>
      </c>
      <c r="F16" s="12"/>
      <c r="G16" s="12"/>
      <c r="H16" s="1"/>
      <c r="I16" s="12"/>
      <c r="J16" s="12"/>
      <c r="K16" s="1"/>
      <c r="L16" s="2"/>
    </row>
    <row r="17" spans="1:12" x14ac:dyDescent="0.2">
      <c r="A17">
        <v>7</v>
      </c>
      <c r="B17" s="9">
        <v>44354</v>
      </c>
      <c r="C17" s="6"/>
      <c r="D17" s="6"/>
      <c r="E17" s="6" t="str">
        <f>IF(T_Fichar345678[[#This Row],[Día]]="","",UPPER(TEXT(T_Fichar345678[[#This Row],[Día]],"MMMM")))</f>
        <v>JUNIO</v>
      </c>
      <c r="F17" s="12"/>
      <c r="G17" s="12"/>
      <c r="H17"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17" s="12"/>
      <c r="J17" s="12"/>
      <c r="K17"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17" s="2" t="str">
        <f>IFERROR(IF(T_Fichar345678[[#This Row],[Total Descanso]]="",T_Fichar345678[Horas Trabajadas],T_Fichar345678[[#This Row],[Horas Trabajadas]]-T_Fichar345678[[#This Row],[Total Descanso]]),"")</f>
        <v/>
      </c>
    </row>
    <row r="18" spans="1:12" x14ac:dyDescent="0.2">
      <c r="A18">
        <v>8</v>
      </c>
      <c r="B18" s="9">
        <v>44355</v>
      </c>
      <c r="C18" s="6"/>
      <c r="D18" s="6"/>
      <c r="E18" s="6" t="str">
        <f>IF(T_Fichar345678[[#This Row],[Día]]="","",UPPER(TEXT(T_Fichar345678[[#This Row],[Día]],"MMMM")))</f>
        <v>JUNIO</v>
      </c>
      <c r="F18" s="12"/>
      <c r="G18" s="12"/>
      <c r="H18"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18" s="12"/>
      <c r="J18" s="12"/>
      <c r="K18"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18" s="2" t="str">
        <f>IFERROR(IF(T_Fichar345678[[#This Row],[Total Descanso]]="",T_Fichar345678[Horas Trabajadas],T_Fichar345678[[#This Row],[Horas Trabajadas]]-T_Fichar345678[[#This Row],[Total Descanso]]),"")</f>
        <v/>
      </c>
    </row>
    <row r="19" spans="1:12" x14ac:dyDescent="0.2">
      <c r="A19">
        <v>9</v>
      </c>
      <c r="B19" s="9">
        <v>44356</v>
      </c>
      <c r="C19" s="6"/>
      <c r="D19" s="6"/>
      <c r="E19" s="6" t="str">
        <f>IF(T_Fichar345678[[#This Row],[Día]]="","",UPPER(TEXT(T_Fichar345678[[#This Row],[Día]],"MMMM")))</f>
        <v>JUNIO</v>
      </c>
      <c r="F19" s="12"/>
      <c r="G19" s="12"/>
      <c r="H19"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19" s="12"/>
      <c r="J19" s="12"/>
      <c r="K19"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19" s="2" t="str">
        <f>IFERROR(IF(T_Fichar345678[[#This Row],[Total Descanso]]="",T_Fichar345678[Horas Trabajadas],T_Fichar345678[[#This Row],[Horas Trabajadas]]-T_Fichar345678[[#This Row],[Total Descanso]]),"")</f>
        <v/>
      </c>
    </row>
    <row r="20" spans="1:12" x14ac:dyDescent="0.2">
      <c r="A20">
        <v>10</v>
      </c>
      <c r="B20" s="9">
        <v>44357</v>
      </c>
      <c r="C20" s="6"/>
      <c r="D20" s="6"/>
      <c r="E20" s="6" t="str">
        <f>IF(T_Fichar345678[[#This Row],[Día]]="","",UPPER(TEXT(T_Fichar345678[[#This Row],[Día]],"MMMM")))</f>
        <v>JUNIO</v>
      </c>
      <c r="F20" s="12"/>
      <c r="G20" s="12"/>
      <c r="H20"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0" s="12"/>
      <c r="J20" s="12"/>
      <c r="K20"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0" s="2" t="str">
        <f>IFERROR(IF(T_Fichar345678[[#This Row],[Total Descanso]]="",T_Fichar345678[Horas Trabajadas],T_Fichar345678[[#This Row],[Horas Trabajadas]]-T_Fichar345678[[#This Row],[Total Descanso]]),"")</f>
        <v/>
      </c>
    </row>
    <row r="21" spans="1:12" x14ac:dyDescent="0.2">
      <c r="A21">
        <v>11</v>
      </c>
      <c r="B21" s="9">
        <v>44358</v>
      </c>
      <c r="C21" s="6"/>
      <c r="D21" s="6"/>
      <c r="E21" s="6" t="str">
        <f>IF(T_Fichar345678[[#This Row],[Día]]="","",UPPER(TEXT(T_Fichar345678[[#This Row],[Día]],"MMMM")))</f>
        <v>JUNIO</v>
      </c>
      <c r="F21" s="12"/>
      <c r="G21" s="12"/>
      <c r="H21"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1" s="12"/>
      <c r="J21" s="12"/>
      <c r="K21"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1" s="2" t="str">
        <f>IFERROR(IF(T_Fichar345678[[#This Row],[Total Descanso]]="",T_Fichar345678[Horas Trabajadas],T_Fichar345678[[#This Row],[Horas Trabajadas]]-T_Fichar345678[[#This Row],[Total Descanso]]),"")</f>
        <v/>
      </c>
    </row>
    <row r="22" spans="1:12" x14ac:dyDescent="0.2">
      <c r="A22">
        <v>12</v>
      </c>
      <c r="B22" s="9">
        <v>44359</v>
      </c>
      <c r="C22" s="6"/>
      <c r="D22" s="6"/>
      <c r="E22" s="6" t="str">
        <f>IF(T_Fichar345678[[#This Row],[Día]]="","",UPPER(TEXT(T_Fichar345678[[#This Row],[Día]],"MMMM")))</f>
        <v>JUNIO</v>
      </c>
      <c r="F22" s="12"/>
      <c r="G22" s="12"/>
      <c r="H22"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2" s="12"/>
      <c r="J22" s="12"/>
      <c r="K22"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2" s="2" t="str">
        <f>IFERROR(IF(T_Fichar345678[[#This Row],[Total Descanso]]="",T_Fichar345678[Horas Trabajadas],T_Fichar345678[[#This Row],[Horas Trabajadas]]-T_Fichar345678[[#This Row],[Total Descanso]]),"")</f>
        <v/>
      </c>
    </row>
    <row r="23" spans="1:12" x14ac:dyDescent="0.2">
      <c r="A23">
        <v>13</v>
      </c>
      <c r="B23" s="9">
        <v>44360</v>
      </c>
      <c r="C23" s="6"/>
      <c r="D23" s="6"/>
      <c r="E23" s="6" t="str">
        <f>IF(T_Fichar345678[[#This Row],[Día]]="","",UPPER(TEXT(T_Fichar345678[[#This Row],[Día]],"MMMM")))</f>
        <v>JUNIO</v>
      </c>
      <c r="F23" s="12"/>
      <c r="G23" s="12"/>
      <c r="H23"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3" s="12"/>
      <c r="J23" s="12"/>
      <c r="K23"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3" s="2" t="str">
        <f>IFERROR(IF(T_Fichar345678[[#This Row],[Total Descanso]]="",T_Fichar345678[Horas Trabajadas],T_Fichar345678[[#This Row],[Horas Trabajadas]]-T_Fichar345678[[#This Row],[Total Descanso]]),"")</f>
        <v/>
      </c>
    </row>
    <row r="24" spans="1:12" x14ac:dyDescent="0.2">
      <c r="A24">
        <v>14</v>
      </c>
      <c r="B24" s="9">
        <v>44361</v>
      </c>
      <c r="C24" s="6"/>
      <c r="D24" s="6"/>
      <c r="E24" s="6" t="str">
        <f>IF(T_Fichar345678[[#This Row],[Día]]="","",UPPER(TEXT(T_Fichar345678[[#This Row],[Día]],"MMMM")))</f>
        <v>JUNIO</v>
      </c>
      <c r="F24" s="12"/>
      <c r="G24" s="12"/>
      <c r="H24"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4" s="12"/>
      <c r="J24" s="12"/>
      <c r="K24"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4" s="2" t="str">
        <f>IFERROR(IF(T_Fichar345678[[#This Row],[Total Descanso]]="",T_Fichar345678[Horas Trabajadas],T_Fichar345678[[#This Row],[Horas Trabajadas]]-T_Fichar345678[[#This Row],[Total Descanso]]),"")</f>
        <v/>
      </c>
    </row>
    <row r="25" spans="1:12" x14ac:dyDescent="0.2">
      <c r="A25">
        <v>15</v>
      </c>
      <c r="B25" s="9">
        <v>44362</v>
      </c>
      <c r="C25" s="6"/>
      <c r="D25" s="6"/>
      <c r="E25" s="6" t="str">
        <f>IF(T_Fichar345678[[#This Row],[Día]]="","",UPPER(TEXT(T_Fichar345678[[#This Row],[Día]],"MMMM")))</f>
        <v>JUNIO</v>
      </c>
      <c r="F25" s="12"/>
      <c r="G25" s="12"/>
      <c r="H25"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5" s="12"/>
      <c r="J25" s="12"/>
      <c r="K25"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5" s="2" t="str">
        <f>IFERROR(IF(T_Fichar345678[[#This Row],[Total Descanso]]="",T_Fichar345678[Horas Trabajadas],T_Fichar345678[[#This Row],[Horas Trabajadas]]-T_Fichar345678[[#This Row],[Total Descanso]]),"")</f>
        <v/>
      </c>
    </row>
    <row r="26" spans="1:12" x14ac:dyDescent="0.2">
      <c r="A26">
        <v>16</v>
      </c>
      <c r="B26" s="9">
        <v>44363</v>
      </c>
      <c r="C26" s="6"/>
      <c r="D26" s="6"/>
      <c r="E26" s="6" t="str">
        <f>IF(T_Fichar345678[[#This Row],[Día]]="","",UPPER(TEXT(T_Fichar345678[[#This Row],[Día]],"MMMM")))</f>
        <v>JUNIO</v>
      </c>
      <c r="F26" s="12"/>
      <c r="G26" s="12"/>
      <c r="H26"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6" s="12"/>
      <c r="J26" s="12"/>
      <c r="K26"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6" s="2" t="str">
        <f>IFERROR(IF(T_Fichar345678[[#This Row],[Total Descanso]]="",T_Fichar345678[Horas Trabajadas],T_Fichar345678[[#This Row],[Horas Trabajadas]]-T_Fichar345678[[#This Row],[Total Descanso]]),"")</f>
        <v/>
      </c>
    </row>
    <row r="27" spans="1:12" x14ac:dyDescent="0.2">
      <c r="A27">
        <v>17</v>
      </c>
      <c r="B27" s="9">
        <v>44364</v>
      </c>
      <c r="C27" s="6"/>
      <c r="D27" s="6"/>
      <c r="E27" s="6" t="str">
        <f>IF(T_Fichar345678[[#This Row],[Día]]="","",UPPER(TEXT(T_Fichar345678[[#This Row],[Día]],"MMMM")))</f>
        <v>JUNIO</v>
      </c>
      <c r="F27" s="12"/>
      <c r="G27" s="12"/>
      <c r="H27"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7" s="12"/>
      <c r="J27" s="12"/>
      <c r="K27"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7" s="2" t="str">
        <f>IFERROR(IF(T_Fichar345678[[#This Row],[Total Descanso]]="",T_Fichar345678[Horas Trabajadas],T_Fichar345678[[#This Row],[Horas Trabajadas]]-T_Fichar345678[[#This Row],[Total Descanso]]),"")</f>
        <v/>
      </c>
    </row>
    <row r="28" spans="1:12" x14ac:dyDescent="0.2">
      <c r="A28">
        <v>18</v>
      </c>
      <c r="B28" s="9">
        <v>44365</v>
      </c>
      <c r="C28" s="6"/>
      <c r="D28" s="6"/>
      <c r="E28" s="6" t="str">
        <f>IF(T_Fichar345678[[#This Row],[Día]]="","",UPPER(TEXT(T_Fichar345678[[#This Row],[Día]],"MMMM")))</f>
        <v>JUNIO</v>
      </c>
      <c r="F28" s="12"/>
      <c r="G28" s="12"/>
      <c r="H28"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8" s="12"/>
      <c r="J28" s="12"/>
      <c r="K28"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8" s="2" t="str">
        <f>IFERROR(IF(T_Fichar345678[[#This Row],[Total Descanso]]="",T_Fichar345678[Horas Trabajadas],T_Fichar345678[[#This Row],[Horas Trabajadas]]-T_Fichar345678[[#This Row],[Total Descanso]]),"")</f>
        <v/>
      </c>
    </row>
    <row r="29" spans="1:12" x14ac:dyDescent="0.2">
      <c r="A29">
        <v>19</v>
      </c>
      <c r="B29" s="9">
        <v>44366</v>
      </c>
      <c r="C29" s="6"/>
      <c r="D29" s="6"/>
      <c r="E29" s="6" t="str">
        <f>IF(T_Fichar345678[[#This Row],[Día]]="","",UPPER(TEXT(T_Fichar345678[[#This Row],[Día]],"MMMM")))</f>
        <v>JUNIO</v>
      </c>
      <c r="F29" s="12"/>
      <c r="G29" s="12"/>
      <c r="H29"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29" s="12"/>
      <c r="J29" s="12"/>
      <c r="K29"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29" s="2" t="str">
        <f>IFERROR(IF(T_Fichar345678[[#This Row],[Total Descanso]]="",T_Fichar345678[Horas Trabajadas],T_Fichar345678[[#This Row],[Horas Trabajadas]]-T_Fichar345678[[#This Row],[Total Descanso]]),"")</f>
        <v/>
      </c>
    </row>
    <row r="30" spans="1:12" x14ac:dyDescent="0.2">
      <c r="A30">
        <v>20</v>
      </c>
      <c r="B30" s="9">
        <v>44367</v>
      </c>
      <c r="C30" s="6"/>
      <c r="D30" s="6"/>
      <c r="E30" s="6" t="str">
        <f>IF(T_Fichar345678[[#This Row],[Día]]="","",UPPER(TEXT(T_Fichar345678[[#This Row],[Día]],"MMMM")))</f>
        <v>JUNIO</v>
      </c>
      <c r="F30" s="12"/>
      <c r="G30" s="12"/>
      <c r="H30"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0" s="12"/>
      <c r="J30" s="12"/>
      <c r="K30"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0" s="2" t="str">
        <f>IFERROR(IF(T_Fichar345678[[#This Row],[Total Descanso]]="",T_Fichar345678[Horas Trabajadas],T_Fichar345678[[#This Row],[Horas Trabajadas]]-T_Fichar345678[[#This Row],[Total Descanso]]),"")</f>
        <v/>
      </c>
    </row>
    <row r="31" spans="1:12" x14ac:dyDescent="0.2">
      <c r="A31">
        <v>21</v>
      </c>
      <c r="B31" s="9">
        <v>44368</v>
      </c>
      <c r="C31" s="6"/>
      <c r="D31" s="6"/>
      <c r="E31" s="6" t="str">
        <f>IF(T_Fichar345678[[#This Row],[Día]]="","",UPPER(TEXT(T_Fichar345678[[#This Row],[Día]],"MMMM")))</f>
        <v>JUNIO</v>
      </c>
      <c r="F31" s="12"/>
      <c r="G31" s="12"/>
      <c r="H31"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1" s="12"/>
      <c r="J31" s="12"/>
      <c r="K31"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1" s="2" t="str">
        <f>IFERROR(IF(T_Fichar345678[[#This Row],[Total Descanso]]="",T_Fichar345678[Horas Trabajadas],T_Fichar345678[[#This Row],[Horas Trabajadas]]-T_Fichar345678[[#This Row],[Total Descanso]]),"")</f>
        <v/>
      </c>
    </row>
    <row r="32" spans="1:12" x14ac:dyDescent="0.2">
      <c r="A32">
        <v>22</v>
      </c>
      <c r="B32" s="9">
        <v>44369</v>
      </c>
      <c r="C32" s="6"/>
      <c r="D32" s="6"/>
      <c r="E32" s="6" t="str">
        <f>IF(T_Fichar345678[[#This Row],[Día]]="","",UPPER(TEXT(T_Fichar345678[[#This Row],[Día]],"MMMM")))</f>
        <v>JUNIO</v>
      </c>
      <c r="F32" s="12"/>
      <c r="G32" s="12"/>
      <c r="H32"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2" s="12"/>
      <c r="J32" s="12"/>
      <c r="K32"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2" s="2" t="str">
        <f>IFERROR(IF(T_Fichar345678[[#This Row],[Total Descanso]]="",T_Fichar345678[Horas Trabajadas],T_Fichar345678[[#This Row],[Horas Trabajadas]]-T_Fichar345678[[#This Row],[Total Descanso]]),"")</f>
        <v/>
      </c>
    </row>
    <row r="33" spans="1:12" x14ac:dyDescent="0.2">
      <c r="A33">
        <v>23</v>
      </c>
      <c r="B33" s="9">
        <v>44370</v>
      </c>
      <c r="C33" s="6"/>
      <c r="D33" s="6"/>
      <c r="E33" s="6" t="str">
        <f>IF(T_Fichar345678[[#This Row],[Día]]="","",UPPER(TEXT(T_Fichar345678[[#This Row],[Día]],"MMMM")))</f>
        <v>JUNIO</v>
      </c>
      <c r="F33" s="12"/>
      <c r="G33" s="12"/>
      <c r="H33"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3" s="12"/>
      <c r="J33" s="12"/>
      <c r="K33"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3" s="2" t="str">
        <f>IFERROR(IF(T_Fichar345678[[#This Row],[Total Descanso]]="",T_Fichar345678[Horas Trabajadas],T_Fichar345678[[#This Row],[Horas Trabajadas]]-T_Fichar345678[[#This Row],[Total Descanso]]),"")</f>
        <v/>
      </c>
    </row>
    <row r="34" spans="1:12" x14ac:dyDescent="0.2">
      <c r="A34">
        <v>24</v>
      </c>
      <c r="B34" s="9">
        <v>44371</v>
      </c>
      <c r="C34" s="6"/>
      <c r="D34" s="6"/>
      <c r="E34" s="6" t="str">
        <f>IF(T_Fichar345678[[#This Row],[Día]]="","",UPPER(TEXT(T_Fichar345678[[#This Row],[Día]],"MMMM")))</f>
        <v>JUNIO</v>
      </c>
      <c r="F34" s="12"/>
      <c r="G34" s="12"/>
      <c r="H34"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4" s="12"/>
      <c r="J34" s="12"/>
      <c r="K34"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4" s="2" t="str">
        <f>IFERROR(IF(T_Fichar345678[[#This Row],[Total Descanso]]="",T_Fichar345678[Horas Trabajadas],T_Fichar345678[[#This Row],[Horas Trabajadas]]-T_Fichar345678[[#This Row],[Total Descanso]]),"")</f>
        <v/>
      </c>
    </row>
    <row r="35" spans="1:12" x14ac:dyDescent="0.2">
      <c r="A35">
        <v>25</v>
      </c>
      <c r="B35" s="9">
        <v>44372</v>
      </c>
      <c r="C35" s="6"/>
      <c r="D35" s="6"/>
      <c r="E35" s="6" t="str">
        <f>IF(T_Fichar345678[[#This Row],[Día]]="","",UPPER(TEXT(T_Fichar345678[[#This Row],[Día]],"MMMM")))</f>
        <v>JUNIO</v>
      </c>
      <c r="F35" s="12"/>
      <c r="G35" s="12"/>
      <c r="H35"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5" s="12"/>
      <c r="J35" s="12"/>
      <c r="K35"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5" s="2" t="str">
        <f>IFERROR(IF(T_Fichar345678[[#This Row],[Total Descanso]]="",T_Fichar345678[Horas Trabajadas],T_Fichar345678[[#This Row],[Horas Trabajadas]]-T_Fichar345678[[#This Row],[Total Descanso]]),"")</f>
        <v/>
      </c>
    </row>
    <row r="36" spans="1:12" x14ac:dyDescent="0.2">
      <c r="A36">
        <v>26</v>
      </c>
      <c r="B36" s="9">
        <v>44373</v>
      </c>
      <c r="C36" s="6"/>
      <c r="D36" s="6"/>
      <c r="E36" s="6" t="str">
        <f>IF(T_Fichar345678[[#This Row],[Día]]="","",UPPER(TEXT(T_Fichar345678[[#This Row],[Día]],"MMMM")))</f>
        <v>JUNIO</v>
      </c>
      <c r="F36" s="12"/>
      <c r="G36" s="12"/>
      <c r="H36"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6" s="12"/>
      <c r="J36" s="12"/>
      <c r="K36"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6" s="2" t="str">
        <f>IFERROR(IF(T_Fichar345678[[#This Row],[Total Descanso]]="",T_Fichar345678[Horas Trabajadas],T_Fichar345678[[#This Row],[Horas Trabajadas]]-T_Fichar345678[[#This Row],[Total Descanso]]),"")</f>
        <v/>
      </c>
    </row>
    <row r="37" spans="1:12" x14ac:dyDescent="0.2">
      <c r="A37">
        <v>27</v>
      </c>
      <c r="B37" s="9">
        <v>44374</v>
      </c>
      <c r="C37" s="6"/>
      <c r="D37" s="6"/>
      <c r="E37" s="6" t="str">
        <f>IF(T_Fichar345678[[#This Row],[Día]]="","",UPPER(TEXT(T_Fichar345678[[#This Row],[Día]],"MMMM")))</f>
        <v>JUNIO</v>
      </c>
      <c r="F37" s="12"/>
      <c r="G37" s="12"/>
      <c r="H37"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7" s="12"/>
      <c r="J37" s="12"/>
      <c r="K37"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7" s="2" t="str">
        <f>IFERROR(IF(T_Fichar345678[[#This Row],[Total Descanso]]="",T_Fichar345678[Horas Trabajadas],T_Fichar345678[[#This Row],[Horas Trabajadas]]-T_Fichar345678[[#This Row],[Total Descanso]]),"")</f>
        <v/>
      </c>
    </row>
    <row r="38" spans="1:12" x14ac:dyDescent="0.2">
      <c r="A38">
        <v>28</v>
      </c>
      <c r="B38" s="9">
        <v>44375</v>
      </c>
      <c r="C38" s="6"/>
      <c r="D38" s="6"/>
      <c r="E38" s="6" t="str">
        <f>IF(T_Fichar345678[[#This Row],[Día]]="","",UPPER(TEXT(T_Fichar345678[[#This Row],[Día]],"MMMM")))</f>
        <v>JUNIO</v>
      </c>
      <c r="F38" s="12"/>
      <c r="G38" s="12"/>
      <c r="H38"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8" s="12"/>
      <c r="J38" s="12"/>
      <c r="K38"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8" s="2" t="str">
        <f>IFERROR(IF(T_Fichar345678[[#This Row],[Total Descanso]]="",T_Fichar345678[Horas Trabajadas],T_Fichar345678[[#This Row],[Horas Trabajadas]]-T_Fichar345678[[#This Row],[Total Descanso]]),"")</f>
        <v/>
      </c>
    </row>
    <row r="39" spans="1:12" x14ac:dyDescent="0.2">
      <c r="A39">
        <v>29</v>
      </c>
      <c r="B39" s="9">
        <v>44376</v>
      </c>
      <c r="C39" s="6"/>
      <c r="D39" s="6"/>
      <c r="E39" s="6" t="str">
        <f>IF(T_Fichar345678[[#This Row],[Día]]="","",UPPER(TEXT(T_Fichar345678[[#This Row],[Día]],"MMMM")))</f>
        <v>JUNIO</v>
      </c>
      <c r="F39" s="12"/>
      <c r="G39" s="12"/>
      <c r="H39"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39" s="12"/>
      <c r="J39" s="12"/>
      <c r="K39"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39" s="2" t="str">
        <f>IFERROR(IF(T_Fichar345678[[#This Row],[Total Descanso]]="",T_Fichar345678[Horas Trabajadas],T_Fichar345678[[#This Row],[Horas Trabajadas]]-T_Fichar345678[[#This Row],[Total Descanso]]),"")</f>
        <v/>
      </c>
    </row>
    <row r="40" spans="1:12" x14ac:dyDescent="0.2">
      <c r="A40">
        <v>30</v>
      </c>
      <c r="B40" s="9">
        <v>44377</v>
      </c>
      <c r="C40" s="6"/>
      <c r="D40" s="6"/>
      <c r="E40" s="6" t="str">
        <f>IF(T_Fichar345678[[#This Row],[Día]]="","",UPPER(TEXT(T_Fichar345678[[#This Row],[Día]],"MMMM")))</f>
        <v>JUNIO</v>
      </c>
      <c r="F40" s="12"/>
      <c r="G40" s="12"/>
      <c r="H40"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40" s="12"/>
      <c r="J40" s="12"/>
      <c r="K40"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40" s="2" t="str">
        <f>IFERROR(IF(T_Fichar345678[[#This Row],[Total Descanso]]="",T_Fichar345678[Horas Trabajadas],T_Fichar345678[[#This Row],[Horas Trabajadas]]-T_Fichar345678[[#This Row],[Total Descanso]]),"")</f>
        <v/>
      </c>
    </row>
    <row r="41" spans="1:12" ht="15.75" thickBot="1" x14ac:dyDescent="0.25">
      <c r="A41">
        <v>31</v>
      </c>
      <c r="B41" s="9"/>
      <c r="C41" s="6"/>
      <c r="D41" s="6"/>
      <c r="E41" s="6" t="str">
        <f>IF(T_Fichar345678[[#This Row],[Día]]="","",UPPER(TEXT(T_Fichar345678[[#This Row],[Día]],"MMMM")))</f>
        <v/>
      </c>
      <c r="F41" s="12"/>
      <c r="G41" s="12"/>
      <c r="H41" s="1" t="str">
        <f>IFERROR(IF(OR(T_Fichar345678[[#This Row],[Hora de Salida]]="",T_Fichar345678[[#This Row],[Hora de Entrada]]=""),"",IF(T_Fichar345678[[#This Row],[Hora de Entrada]]&gt;T_Fichar345678[[#This Row],[Hora de Salida]],(1-T_Fichar345678[[#This Row],[Hora de Entrada]])+(T_Fichar345678[[#This Row],[Hora de Salida]]),T_Fichar345678[[#This Row],[Hora de Salida]]-T_Fichar345678[[#This Row],[Hora de Entrada]])),"")</f>
        <v/>
      </c>
      <c r="I41" s="12"/>
      <c r="J41" s="12"/>
      <c r="K41" s="1" t="str">
        <f>IFERROR(IF(OR(T_Fichar345678[[#This Row],[Salida Descanso]]="",T_Fichar345678[[#This Row],[Regreso Descanso]]=""),"",IF(T_Fichar345678[[#This Row],[Salida Descanso]]&gt;T_Fichar345678[[#This Row],[Regreso Descanso]],(1-T_Fichar345678[[#This Row],[Salida Descanso]])+T_Fichar345678[[#This Row],[Regreso Descanso]],T_Fichar345678[[#This Row],[Regreso Descanso]]-T_Fichar345678[[#This Row],[Salida Descanso]])),"")</f>
        <v/>
      </c>
      <c r="L41" s="2" t="str">
        <f>IFERROR(IF(T_Fichar345678[[#This Row],[Total Descanso]]="",T_Fichar345678[Horas Trabajadas],T_Fichar345678[[#This Row],[Horas Trabajadas]]-T_Fichar345678[[#This Row],[Total Descanso]]),"")</f>
        <v/>
      </c>
    </row>
    <row r="42" spans="1:12" ht="19.5" thickTop="1" x14ac:dyDescent="0.2">
      <c r="B42" s="14" t="s">
        <v>5</v>
      </c>
      <c r="C42" s="15"/>
      <c r="D42" s="15"/>
      <c r="E42" s="15"/>
      <c r="F42" s="16"/>
      <c r="G42" s="16"/>
      <c r="H42" s="17">
        <f>SUBTOTAL(109,T_Fichar345678[Horas Trabajadas])</f>
        <v>0</v>
      </c>
      <c r="I42" s="15"/>
      <c r="J42" s="17"/>
      <c r="K42" s="17">
        <f>SUBTOTAL(109,T_Fichar345678[Total Descanso])</f>
        <v>0</v>
      </c>
      <c r="L42" s="18">
        <f>SUBTOTAL(109,T_Fichar345678[Total Horas menos Descanso])</f>
        <v>0</v>
      </c>
    </row>
    <row r="45" spans="1:12" x14ac:dyDescent="0.2">
      <c r="B45" s="10" t="s">
        <v>24</v>
      </c>
      <c r="F45" s="13" t="s">
        <v>25</v>
      </c>
    </row>
    <row r="53" spans="2:12" x14ac:dyDescent="0.2">
      <c r="B53" s="22" t="s">
        <v>18</v>
      </c>
      <c r="C53" s="22"/>
      <c r="D53" s="22"/>
      <c r="E53" s="22"/>
      <c r="F53" s="22"/>
      <c r="G53" s="22"/>
      <c r="H53" s="21"/>
      <c r="I53" s="22"/>
      <c r="J53" s="22"/>
      <c r="K53" s="23"/>
      <c r="L53" s="23"/>
    </row>
  </sheetData>
  <sheetProtection insertRows="0" deleteRows="0" autoFilter="0" pivotTables="0"/>
  <mergeCells count="1">
    <mergeCell ref="C4:F4"/>
  </mergeCells>
  <phoneticPr fontId="5" alignment="center"/>
  <dataValidations count="2">
    <dataValidation type="time" allowBlank="1" showInputMessage="1" showErrorMessage="1" errorTitle="Error en el formato" error="Escribe horas y minutos_x000a_HH:MM" promptTitle="Rellena Horas y Minutos" prompt="Formato HH:MM" sqref="I11:J41 F11:G41" xr:uid="{ADD44771-1AD9-CD4A-8413-27ACF0F66BE0}">
      <formula1>0</formula1>
      <formula2>0.999305555555556</formula2>
    </dataValidation>
    <dataValidation type="date" allowBlank="1" showInputMessage="1" showErrorMessage="1" errorTitle="Error al escribir la fecha" error="Formato DD/MM/AAAA_x000a_" promptTitle="Escribe la fecha de trabajo" prompt="Formato DD/MM/AAAA_x000a_" sqref="B11:D41" xr:uid="{1EBD55C7-1B88-DA46-8798-1F9C0A02E24F}">
      <formula1>43101</formula1>
      <formula2>55153</formula2>
    </dataValidation>
  </dataValidations>
  <pageMargins left="0.7" right="0.7" top="0.75" bottom="0.75" header="0.3" footer="0.3"/>
  <pageSetup paperSize="9" orientation="portrait" horizontalDpi="300" verticalDpi="3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B8CCF-BD32-114F-AD32-ED1B9AAD0B03}">
  <dimension ref="A4:L53"/>
  <sheetViews>
    <sheetView showGridLines="0" topLeftCell="F1" workbookViewId="0">
      <pane ySplit="10" topLeftCell="F36" activePane="bottomLeft" state="frozen"/>
      <selection activeCell="F1" sqref="F1"/>
      <selection pane="bottomLeft" activeCell="I8" sqref="I8"/>
    </sheetView>
  </sheetViews>
  <sheetFormatPr defaultColWidth="10.76171875" defaultRowHeight="15" x14ac:dyDescent="0.2"/>
  <cols>
    <col min="2" max="2" width="12.64453125" style="10" bestFit="1" customWidth="1"/>
    <col min="3" max="3" width="10.76171875" style="4"/>
    <col min="4" max="4" width="11.97265625" style="4" customWidth="1"/>
    <col min="5" max="5" width="10.76171875" style="4"/>
    <col min="6" max="6" width="15.06640625" style="13" customWidth="1"/>
    <col min="7" max="7" width="13.85546875" style="13" customWidth="1"/>
    <col min="8" max="8" width="14.796875" style="3" customWidth="1"/>
    <col min="9" max="10" width="14.796875" style="10" customWidth="1"/>
    <col min="11" max="12" width="14.796875" style="4" customWidth="1"/>
  </cols>
  <sheetData>
    <row r="4" spans="1:12" x14ac:dyDescent="0.2">
      <c r="B4" s="24" t="s">
        <v>17</v>
      </c>
      <c r="C4" s="48" t="s">
        <v>21</v>
      </c>
      <c r="D4" s="48"/>
      <c r="E4" s="48"/>
      <c r="F4" s="48"/>
      <c r="I4" s="3" t="s">
        <v>12</v>
      </c>
    </row>
    <row r="5" spans="1:12" x14ac:dyDescent="0.2">
      <c r="B5" s="24" t="s">
        <v>13</v>
      </c>
      <c r="D5" s="24" t="s">
        <v>22</v>
      </c>
      <c r="H5" s="20" t="s">
        <v>14</v>
      </c>
      <c r="I5" s="19" t="s">
        <v>20</v>
      </c>
    </row>
    <row r="6" spans="1:12" x14ac:dyDescent="0.2">
      <c r="B6" s="24"/>
      <c r="C6" s="24"/>
      <c r="H6" s="20" t="s">
        <v>15</v>
      </c>
      <c r="I6" s="10" t="s">
        <v>19</v>
      </c>
    </row>
    <row r="7" spans="1:12" x14ac:dyDescent="0.2">
      <c r="B7" s="24"/>
      <c r="C7" s="24"/>
      <c r="H7" s="20" t="s">
        <v>23</v>
      </c>
      <c r="I7" s="10">
        <v>700</v>
      </c>
    </row>
    <row r="8" spans="1:12" x14ac:dyDescent="0.2">
      <c r="B8" s="24"/>
      <c r="C8" s="24"/>
      <c r="D8" s="24"/>
      <c r="H8" s="20" t="s">
        <v>16</v>
      </c>
      <c r="I8" s="26">
        <v>44378</v>
      </c>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9">
        <v>44378</v>
      </c>
      <c r="C11" s="6"/>
      <c r="D11" s="25"/>
      <c r="E11" s="6" t="str">
        <f>IF(T_Fichar34567[[#This Row],[Día]]="","",UPPER(TEXT(T_Fichar34567[[#This Row],[Día]],"MMMM")))</f>
        <v>JULIO</v>
      </c>
      <c r="F11" s="12"/>
      <c r="G11" s="12"/>
      <c r="H11"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11" s="12"/>
      <c r="J11" s="12"/>
      <c r="K11"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11" s="2" t="str">
        <f>IFERROR(IF(T_Fichar34567[[#This Row],[Total Descanso]]="",T_Fichar34567[Horas Trabajadas],T_Fichar34567[[#This Row],[Horas Trabajadas]]-T_Fichar34567[[#This Row],[Total Descanso]]),"")</f>
        <v/>
      </c>
    </row>
    <row r="12" spans="1:12" x14ac:dyDescent="0.2">
      <c r="A12">
        <v>2</v>
      </c>
      <c r="B12" s="9">
        <v>44379</v>
      </c>
      <c r="C12" s="6"/>
      <c r="D12" s="6"/>
      <c r="E12" s="6" t="str">
        <f>IF(T_Fichar34567[[#This Row],[Día]]="","",UPPER(TEXT(T_Fichar34567[[#This Row],[Día]],"MMMM")))</f>
        <v>JULIO</v>
      </c>
      <c r="F12" s="12"/>
      <c r="G12" s="12"/>
      <c r="H12"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12" s="12"/>
      <c r="J12" s="12"/>
      <c r="K12"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12" s="2" t="str">
        <f>IFERROR(IF(T_Fichar34567[[#This Row],[Total Descanso]]="",T_Fichar34567[Horas Trabajadas],T_Fichar34567[[#This Row],[Horas Trabajadas]]-T_Fichar34567[[#This Row],[Total Descanso]]),"")</f>
        <v/>
      </c>
    </row>
    <row r="13" spans="1:12" x14ac:dyDescent="0.2">
      <c r="A13">
        <v>3</v>
      </c>
      <c r="B13" s="9">
        <v>44380</v>
      </c>
      <c r="C13" s="6"/>
      <c r="D13" s="6"/>
      <c r="E13" s="6" t="str">
        <f>IF(T_Fichar34567[[#This Row],[Día]]="","",UPPER(TEXT(T_Fichar34567[[#This Row],[Día]],"MMMM")))</f>
        <v>JULIO</v>
      </c>
      <c r="F13" s="12"/>
      <c r="G13" s="12"/>
      <c r="H13"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13" s="12"/>
      <c r="J13" s="12"/>
      <c r="K13"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13" s="2" t="str">
        <f>IFERROR(IF(T_Fichar34567[[#This Row],[Total Descanso]]="",T_Fichar34567[Horas Trabajadas],T_Fichar34567[[#This Row],[Horas Trabajadas]]-T_Fichar34567[[#This Row],[Total Descanso]]),"")</f>
        <v/>
      </c>
    </row>
    <row r="14" spans="1:12" x14ac:dyDescent="0.2">
      <c r="A14">
        <v>4</v>
      </c>
      <c r="B14" s="9">
        <v>44381</v>
      </c>
      <c r="C14" s="6"/>
      <c r="D14" s="6"/>
      <c r="E14" s="6" t="str">
        <f>IF(T_Fichar34567[[#This Row],[Día]]="","",UPPER(TEXT(T_Fichar34567[[#This Row],[Día]],"MMMM")))</f>
        <v>JULIO</v>
      </c>
      <c r="F14" s="12"/>
      <c r="G14" s="12"/>
      <c r="H14"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14" s="12"/>
      <c r="J14" s="12"/>
      <c r="K14"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14" s="2" t="str">
        <f>IFERROR(IF(T_Fichar34567[[#This Row],[Total Descanso]]="",T_Fichar34567[Horas Trabajadas],T_Fichar34567[[#This Row],[Horas Trabajadas]]-T_Fichar34567[[#This Row],[Total Descanso]]),"")</f>
        <v/>
      </c>
    </row>
    <row r="15" spans="1:12" x14ac:dyDescent="0.2">
      <c r="A15">
        <v>5</v>
      </c>
      <c r="B15" s="9">
        <v>44382</v>
      </c>
      <c r="C15" s="6"/>
      <c r="D15" s="6"/>
      <c r="E15" s="6" t="str">
        <f>IF(T_Fichar34567[[#This Row],[Día]]="","",UPPER(TEXT(T_Fichar34567[[#This Row],[Día]],"MMMM")))</f>
        <v>JULIO</v>
      </c>
      <c r="F15" s="12"/>
      <c r="G15" s="12"/>
      <c r="H15"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15" s="12"/>
      <c r="J15" s="12"/>
      <c r="K15"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15" s="2" t="str">
        <f>IFERROR(IF(T_Fichar34567[[#This Row],[Total Descanso]]="",T_Fichar34567[Horas Trabajadas],T_Fichar34567[[#This Row],[Horas Trabajadas]]-T_Fichar34567[[#This Row],[Total Descanso]]),"")</f>
        <v/>
      </c>
    </row>
    <row r="16" spans="1:12" x14ac:dyDescent="0.2">
      <c r="B16" s="9">
        <v>44383</v>
      </c>
      <c r="C16" s="6"/>
      <c r="D16" s="6"/>
      <c r="E16" s="6" t="str">
        <f>IF(T_Fichar34567[[#This Row],[Día]]="","",UPPER(TEXT(T_Fichar34567[[#This Row],[Día]],"MMMM")))</f>
        <v>JULIO</v>
      </c>
      <c r="F16" s="12"/>
      <c r="G16" s="12"/>
      <c r="H16" s="1"/>
      <c r="I16" s="12"/>
      <c r="J16" s="12"/>
      <c r="K16" s="1"/>
      <c r="L16" s="2"/>
    </row>
    <row r="17" spans="1:12" x14ac:dyDescent="0.2">
      <c r="A17">
        <v>7</v>
      </c>
      <c r="B17" s="9">
        <v>44384</v>
      </c>
      <c r="C17" s="6"/>
      <c r="D17" s="6"/>
      <c r="E17" s="6" t="str">
        <f>IF(T_Fichar34567[[#This Row],[Día]]="","",UPPER(TEXT(T_Fichar34567[[#This Row],[Día]],"MMMM")))</f>
        <v>JULIO</v>
      </c>
      <c r="F17" s="12"/>
      <c r="G17" s="12"/>
      <c r="H17"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17" s="12"/>
      <c r="J17" s="12"/>
      <c r="K17"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17" s="2" t="str">
        <f>IFERROR(IF(T_Fichar34567[[#This Row],[Total Descanso]]="",T_Fichar34567[Horas Trabajadas],T_Fichar34567[[#This Row],[Horas Trabajadas]]-T_Fichar34567[[#This Row],[Total Descanso]]),"")</f>
        <v/>
      </c>
    </row>
    <row r="18" spans="1:12" x14ac:dyDescent="0.2">
      <c r="A18">
        <v>8</v>
      </c>
      <c r="B18" s="9">
        <v>44385</v>
      </c>
      <c r="C18" s="6"/>
      <c r="D18" s="6"/>
      <c r="E18" s="6" t="str">
        <f>IF(T_Fichar34567[[#This Row],[Día]]="","",UPPER(TEXT(T_Fichar34567[[#This Row],[Día]],"MMMM")))</f>
        <v>JULIO</v>
      </c>
      <c r="F18" s="12"/>
      <c r="G18" s="12"/>
      <c r="H18"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18" s="12"/>
      <c r="J18" s="12"/>
      <c r="K18"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18" s="2" t="str">
        <f>IFERROR(IF(T_Fichar34567[[#This Row],[Total Descanso]]="",T_Fichar34567[Horas Trabajadas],T_Fichar34567[[#This Row],[Horas Trabajadas]]-T_Fichar34567[[#This Row],[Total Descanso]]),"")</f>
        <v/>
      </c>
    </row>
    <row r="19" spans="1:12" x14ac:dyDescent="0.2">
      <c r="A19">
        <v>9</v>
      </c>
      <c r="B19" s="9">
        <v>44386</v>
      </c>
      <c r="C19" s="6"/>
      <c r="D19" s="6"/>
      <c r="E19" s="6" t="str">
        <f>IF(T_Fichar34567[[#This Row],[Día]]="","",UPPER(TEXT(T_Fichar34567[[#This Row],[Día]],"MMMM")))</f>
        <v>JULIO</v>
      </c>
      <c r="F19" s="12"/>
      <c r="G19" s="12"/>
      <c r="H19"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19" s="12"/>
      <c r="J19" s="12"/>
      <c r="K19"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19" s="2" t="str">
        <f>IFERROR(IF(T_Fichar34567[[#This Row],[Total Descanso]]="",T_Fichar34567[Horas Trabajadas],T_Fichar34567[[#This Row],[Horas Trabajadas]]-T_Fichar34567[[#This Row],[Total Descanso]]),"")</f>
        <v/>
      </c>
    </row>
    <row r="20" spans="1:12" x14ac:dyDescent="0.2">
      <c r="A20">
        <v>10</v>
      </c>
      <c r="B20" s="9">
        <v>44387</v>
      </c>
      <c r="C20" s="6"/>
      <c r="D20" s="6"/>
      <c r="E20" s="6" t="str">
        <f>IF(T_Fichar34567[[#This Row],[Día]]="","",UPPER(TEXT(T_Fichar34567[[#This Row],[Día]],"MMMM")))</f>
        <v>JULIO</v>
      </c>
      <c r="F20" s="12"/>
      <c r="G20" s="12"/>
      <c r="H20"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0" s="12"/>
      <c r="J20" s="12"/>
      <c r="K20"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0" s="2" t="str">
        <f>IFERROR(IF(T_Fichar34567[[#This Row],[Total Descanso]]="",T_Fichar34567[Horas Trabajadas],T_Fichar34567[[#This Row],[Horas Trabajadas]]-T_Fichar34567[[#This Row],[Total Descanso]]),"")</f>
        <v/>
      </c>
    </row>
    <row r="21" spans="1:12" x14ac:dyDescent="0.2">
      <c r="A21">
        <v>11</v>
      </c>
      <c r="B21" s="9">
        <v>44388</v>
      </c>
      <c r="C21" s="6"/>
      <c r="D21" s="6"/>
      <c r="E21" s="6" t="str">
        <f>IF(T_Fichar34567[[#This Row],[Día]]="","",UPPER(TEXT(T_Fichar34567[[#This Row],[Día]],"MMMM")))</f>
        <v>JULIO</v>
      </c>
      <c r="F21" s="12"/>
      <c r="G21" s="12"/>
      <c r="H21"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1" s="12"/>
      <c r="J21" s="12"/>
      <c r="K21"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1" s="2" t="str">
        <f>IFERROR(IF(T_Fichar34567[[#This Row],[Total Descanso]]="",T_Fichar34567[Horas Trabajadas],T_Fichar34567[[#This Row],[Horas Trabajadas]]-T_Fichar34567[[#This Row],[Total Descanso]]),"")</f>
        <v/>
      </c>
    </row>
    <row r="22" spans="1:12" x14ac:dyDescent="0.2">
      <c r="A22">
        <v>12</v>
      </c>
      <c r="B22" s="9">
        <v>44389</v>
      </c>
      <c r="C22" s="6"/>
      <c r="D22" s="6"/>
      <c r="E22" s="6" t="str">
        <f>IF(T_Fichar34567[[#This Row],[Día]]="","",UPPER(TEXT(T_Fichar34567[[#This Row],[Día]],"MMMM")))</f>
        <v>JULIO</v>
      </c>
      <c r="F22" s="12"/>
      <c r="G22" s="12"/>
      <c r="H22"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2" s="12"/>
      <c r="J22" s="12"/>
      <c r="K22"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2" s="2" t="str">
        <f>IFERROR(IF(T_Fichar34567[[#This Row],[Total Descanso]]="",T_Fichar34567[Horas Trabajadas],T_Fichar34567[[#This Row],[Horas Trabajadas]]-T_Fichar34567[[#This Row],[Total Descanso]]),"")</f>
        <v/>
      </c>
    </row>
    <row r="23" spans="1:12" x14ac:dyDescent="0.2">
      <c r="A23">
        <v>13</v>
      </c>
      <c r="B23" s="9">
        <v>44390</v>
      </c>
      <c r="C23" s="6"/>
      <c r="D23" s="6"/>
      <c r="E23" s="6" t="str">
        <f>IF(T_Fichar34567[[#This Row],[Día]]="","",UPPER(TEXT(T_Fichar34567[[#This Row],[Día]],"MMMM")))</f>
        <v>JULIO</v>
      </c>
      <c r="F23" s="12"/>
      <c r="G23" s="12"/>
      <c r="H23"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3" s="12"/>
      <c r="J23" s="12"/>
      <c r="K23"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3" s="2" t="str">
        <f>IFERROR(IF(T_Fichar34567[[#This Row],[Total Descanso]]="",T_Fichar34567[Horas Trabajadas],T_Fichar34567[[#This Row],[Horas Trabajadas]]-T_Fichar34567[[#This Row],[Total Descanso]]),"")</f>
        <v/>
      </c>
    </row>
    <row r="24" spans="1:12" x14ac:dyDescent="0.2">
      <c r="A24">
        <v>14</v>
      </c>
      <c r="B24" s="9">
        <v>44391</v>
      </c>
      <c r="C24" s="6"/>
      <c r="D24" s="6"/>
      <c r="E24" s="6" t="str">
        <f>IF(T_Fichar34567[[#This Row],[Día]]="","",UPPER(TEXT(T_Fichar34567[[#This Row],[Día]],"MMMM")))</f>
        <v>JULIO</v>
      </c>
      <c r="F24" s="12"/>
      <c r="G24" s="12"/>
      <c r="H24"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4" s="12"/>
      <c r="J24" s="12"/>
      <c r="K24"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4" s="2" t="str">
        <f>IFERROR(IF(T_Fichar34567[[#This Row],[Total Descanso]]="",T_Fichar34567[Horas Trabajadas],T_Fichar34567[[#This Row],[Horas Trabajadas]]-T_Fichar34567[[#This Row],[Total Descanso]]),"")</f>
        <v/>
      </c>
    </row>
    <row r="25" spans="1:12" x14ac:dyDescent="0.2">
      <c r="A25">
        <v>15</v>
      </c>
      <c r="B25" s="9">
        <v>44392</v>
      </c>
      <c r="C25" s="6"/>
      <c r="D25" s="6"/>
      <c r="E25" s="6" t="str">
        <f>IF(T_Fichar34567[[#This Row],[Día]]="","",UPPER(TEXT(T_Fichar34567[[#This Row],[Día]],"MMMM")))</f>
        <v>JULIO</v>
      </c>
      <c r="F25" s="12"/>
      <c r="G25" s="12"/>
      <c r="H25"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5" s="12"/>
      <c r="J25" s="12"/>
      <c r="K25"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5" s="2" t="str">
        <f>IFERROR(IF(T_Fichar34567[[#This Row],[Total Descanso]]="",T_Fichar34567[Horas Trabajadas],T_Fichar34567[[#This Row],[Horas Trabajadas]]-T_Fichar34567[[#This Row],[Total Descanso]]),"")</f>
        <v/>
      </c>
    </row>
    <row r="26" spans="1:12" x14ac:dyDescent="0.2">
      <c r="A26">
        <v>16</v>
      </c>
      <c r="B26" s="9">
        <v>44393</v>
      </c>
      <c r="C26" s="6"/>
      <c r="D26" s="6"/>
      <c r="E26" s="6" t="str">
        <f>IF(T_Fichar34567[[#This Row],[Día]]="","",UPPER(TEXT(T_Fichar34567[[#This Row],[Día]],"MMMM")))</f>
        <v>JULIO</v>
      </c>
      <c r="F26" s="12"/>
      <c r="G26" s="12"/>
      <c r="H26"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6" s="12"/>
      <c r="J26" s="12"/>
      <c r="K26"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6" s="2" t="str">
        <f>IFERROR(IF(T_Fichar34567[[#This Row],[Total Descanso]]="",T_Fichar34567[Horas Trabajadas],T_Fichar34567[[#This Row],[Horas Trabajadas]]-T_Fichar34567[[#This Row],[Total Descanso]]),"")</f>
        <v/>
      </c>
    </row>
    <row r="27" spans="1:12" x14ac:dyDescent="0.2">
      <c r="A27">
        <v>17</v>
      </c>
      <c r="B27" s="9">
        <v>44394</v>
      </c>
      <c r="C27" s="6"/>
      <c r="D27" s="6"/>
      <c r="E27" s="6" t="str">
        <f>IF(T_Fichar34567[[#This Row],[Día]]="","",UPPER(TEXT(T_Fichar34567[[#This Row],[Día]],"MMMM")))</f>
        <v>JULIO</v>
      </c>
      <c r="F27" s="12"/>
      <c r="G27" s="12"/>
      <c r="H27"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7" s="12"/>
      <c r="J27" s="12"/>
      <c r="K27"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7" s="2" t="str">
        <f>IFERROR(IF(T_Fichar34567[[#This Row],[Total Descanso]]="",T_Fichar34567[Horas Trabajadas],T_Fichar34567[[#This Row],[Horas Trabajadas]]-T_Fichar34567[[#This Row],[Total Descanso]]),"")</f>
        <v/>
      </c>
    </row>
    <row r="28" spans="1:12" x14ac:dyDescent="0.2">
      <c r="A28">
        <v>18</v>
      </c>
      <c r="B28" s="9">
        <v>44395</v>
      </c>
      <c r="C28" s="6"/>
      <c r="D28" s="6"/>
      <c r="E28" s="6" t="str">
        <f>IF(T_Fichar34567[[#This Row],[Día]]="","",UPPER(TEXT(T_Fichar34567[[#This Row],[Día]],"MMMM")))</f>
        <v>JULIO</v>
      </c>
      <c r="F28" s="12"/>
      <c r="G28" s="12"/>
      <c r="H28"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8" s="12"/>
      <c r="J28" s="12"/>
      <c r="K28"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8" s="2" t="str">
        <f>IFERROR(IF(T_Fichar34567[[#This Row],[Total Descanso]]="",T_Fichar34567[Horas Trabajadas],T_Fichar34567[[#This Row],[Horas Trabajadas]]-T_Fichar34567[[#This Row],[Total Descanso]]),"")</f>
        <v/>
      </c>
    </row>
    <row r="29" spans="1:12" x14ac:dyDescent="0.2">
      <c r="A29">
        <v>19</v>
      </c>
      <c r="B29" s="9">
        <v>44396</v>
      </c>
      <c r="C29" s="6"/>
      <c r="D29" s="6"/>
      <c r="E29" s="6" t="str">
        <f>IF(T_Fichar34567[[#This Row],[Día]]="","",UPPER(TEXT(T_Fichar34567[[#This Row],[Día]],"MMMM")))</f>
        <v>JULIO</v>
      </c>
      <c r="F29" s="12"/>
      <c r="G29" s="12"/>
      <c r="H29"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29" s="12"/>
      <c r="J29" s="12"/>
      <c r="K29"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29" s="2" t="str">
        <f>IFERROR(IF(T_Fichar34567[[#This Row],[Total Descanso]]="",T_Fichar34567[Horas Trabajadas],T_Fichar34567[[#This Row],[Horas Trabajadas]]-T_Fichar34567[[#This Row],[Total Descanso]]),"")</f>
        <v/>
      </c>
    </row>
    <row r="30" spans="1:12" x14ac:dyDescent="0.2">
      <c r="A30">
        <v>20</v>
      </c>
      <c r="B30" s="9">
        <v>44397</v>
      </c>
      <c r="C30" s="6"/>
      <c r="D30" s="6"/>
      <c r="E30" s="6" t="str">
        <f>IF(T_Fichar34567[[#This Row],[Día]]="","",UPPER(TEXT(T_Fichar34567[[#This Row],[Día]],"MMMM")))</f>
        <v>JULIO</v>
      </c>
      <c r="F30" s="12"/>
      <c r="G30" s="12"/>
      <c r="H30"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0" s="12"/>
      <c r="J30" s="12"/>
      <c r="K30"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0" s="2" t="str">
        <f>IFERROR(IF(T_Fichar34567[[#This Row],[Total Descanso]]="",T_Fichar34567[Horas Trabajadas],T_Fichar34567[[#This Row],[Horas Trabajadas]]-T_Fichar34567[[#This Row],[Total Descanso]]),"")</f>
        <v/>
      </c>
    </row>
    <row r="31" spans="1:12" x14ac:dyDescent="0.2">
      <c r="A31">
        <v>21</v>
      </c>
      <c r="B31" s="9">
        <v>44398</v>
      </c>
      <c r="C31" s="6"/>
      <c r="D31" s="6"/>
      <c r="E31" s="6" t="str">
        <f>IF(T_Fichar34567[[#This Row],[Día]]="","",UPPER(TEXT(T_Fichar34567[[#This Row],[Día]],"MMMM")))</f>
        <v>JULIO</v>
      </c>
      <c r="F31" s="12"/>
      <c r="G31" s="12"/>
      <c r="H31"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1" s="12"/>
      <c r="J31" s="12"/>
      <c r="K31"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1" s="2" t="str">
        <f>IFERROR(IF(T_Fichar34567[[#This Row],[Total Descanso]]="",T_Fichar34567[Horas Trabajadas],T_Fichar34567[[#This Row],[Horas Trabajadas]]-T_Fichar34567[[#This Row],[Total Descanso]]),"")</f>
        <v/>
      </c>
    </row>
    <row r="32" spans="1:12" x14ac:dyDescent="0.2">
      <c r="A32">
        <v>22</v>
      </c>
      <c r="B32" s="9">
        <v>44399</v>
      </c>
      <c r="C32" s="6"/>
      <c r="D32" s="6"/>
      <c r="E32" s="6" t="str">
        <f>IF(T_Fichar34567[[#This Row],[Día]]="","",UPPER(TEXT(T_Fichar34567[[#This Row],[Día]],"MMMM")))</f>
        <v>JULIO</v>
      </c>
      <c r="F32" s="12"/>
      <c r="G32" s="12"/>
      <c r="H32"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2" s="12"/>
      <c r="J32" s="12"/>
      <c r="K32"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2" s="2" t="str">
        <f>IFERROR(IF(T_Fichar34567[[#This Row],[Total Descanso]]="",T_Fichar34567[Horas Trabajadas],T_Fichar34567[[#This Row],[Horas Trabajadas]]-T_Fichar34567[[#This Row],[Total Descanso]]),"")</f>
        <v/>
      </c>
    </row>
    <row r="33" spans="1:12" x14ac:dyDescent="0.2">
      <c r="A33">
        <v>23</v>
      </c>
      <c r="B33" s="9">
        <v>44400</v>
      </c>
      <c r="C33" s="6"/>
      <c r="D33" s="6"/>
      <c r="E33" s="6" t="str">
        <f>IF(T_Fichar34567[[#This Row],[Día]]="","",UPPER(TEXT(T_Fichar34567[[#This Row],[Día]],"MMMM")))</f>
        <v>JULIO</v>
      </c>
      <c r="F33" s="12"/>
      <c r="G33" s="12"/>
      <c r="H33"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3" s="12"/>
      <c r="J33" s="12"/>
      <c r="K33"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3" s="2" t="str">
        <f>IFERROR(IF(T_Fichar34567[[#This Row],[Total Descanso]]="",T_Fichar34567[Horas Trabajadas],T_Fichar34567[[#This Row],[Horas Trabajadas]]-T_Fichar34567[[#This Row],[Total Descanso]]),"")</f>
        <v/>
      </c>
    </row>
    <row r="34" spans="1:12" x14ac:dyDescent="0.2">
      <c r="A34">
        <v>24</v>
      </c>
      <c r="B34" s="9">
        <v>44401</v>
      </c>
      <c r="C34" s="6"/>
      <c r="D34" s="6"/>
      <c r="E34" s="6" t="str">
        <f>IF(T_Fichar34567[[#This Row],[Día]]="","",UPPER(TEXT(T_Fichar34567[[#This Row],[Día]],"MMMM")))</f>
        <v>JULIO</v>
      </c>
      <c r="F34" s="12"/>
      <c r="G34" s="12"/>
      <c r="H34"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4" s="12"/>
      <c r="J34" s="12"/>
      <c r="K34"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4" s="2" t="str">
        <f>IFERROR(IF(T_Fichar34567[[#This Row],[Total Descanso]]="",T_Fichar34567[Horas Trabajadas],T_Fichar34567[[#This Row],[Horas Trabajadas]]-T_Fichar34567[[#This Row],[Total Descanso]]),"")</f>
        <v/>
      </c>
    </row>
    <row r="35" spans="1:12" x14ac:dyDescent="0.2">
      <c r="A35">
        <v>25</v>
      </c>
      <c r="B35" s="9">
        <v>44402</v>
      </c>
      <c r="C35" s="6"/>
      <c r="D35" s="6"/>
      <c r="E35" s="6" t="str">
        <f>IF(T_Fichar34567[[#This Row],[Día]]="","",UPPER(TEXT(T_Fichar34567[[#This Row],[Día]],"MMMM")))</f>
        <v>JULIO</v>
      </c>
      <c r="F35" s="12"/>
      <c r="G35" s="12"/>
      <c r="H35"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5" s="12"/>
      <c r="J35" s="12"/>
      <c r="K35"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5" s="2" t="str">
        <f>IFERROR(IF(T_Fichar34567[[#This Row],[Total Descanso]]="",T_Fichar34567[Horas Trabajadas],T_Fichar34567[[#This Row],[Horas Trabajadas]]-T_Fichar34567[[#This Row],[Total Descanso]]),"")</f>
        <v/>
      </c>
    </row>
    <row r="36" spans="1:12" x14ac:dyDescent="0.2">
      <c r="A36">
        <v>26</v>
      </c>
      <c r="B36" s="9">
        <v>44403</v>
      </c>
      <c r="C36" s="6"/>
      <c r="D36" s="6"/>
      <c r="E36" s="6" t="str">
        <f>IF(T_Fichar34567[[#This Row],[Día]]="","",UPPER(TEXT(T_Fichar34567[[#This Row],[Día]],"MMMM")))</f>
        <v>JULIO</v>
      </c>
      <c r="F36" s="12"/>
      <c r="G36" s="12"/>
      <c r="H36"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6" s="12"/>
      <c r="J36" s="12"/>
      <c r="K36"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6" s="2" t="str">
        <f>IFERROR(IF(T_Fichar34567[[#This Row],[Total Descanso]]="",T_Fichar34567[Horas Trabajadas],T_Fichar34567[[#This Row],[Horas Trabajadas]]-T_Fichar34567[[#This Row],[Total Descanso]]),"")</f>
        <v/>
      </c>
    </row>
    <row r="37" spans="1:12" x14ac:dyDescent="0.2">
      <c r="A37">
        <v>27</v>
      </c>
      <c r="B37" s="9">
        <v>44404</v>
      </c>
      <c r="C37" s="6"/>
      <c r="D37" s="6"/>
      <c r="E37" s="6" t="str">
        <f>IF(T_Fichar34567[[#This Row],[Día]]="","",UPPER(TEXT(T_Fichar34567[[#This Row],[Día]],"MMMM")))</f>
        <v>JULIO</v>
      </c>
      <c r="F37" s="12"/>
      <c r="G37" s="12"/>
      <c r="H37"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7" s="12"/>
      <c r="J37" s="12"/>
      <c r="K37"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7" s="2" t="str">
        <f>IFERROR(IF(T_Fichar34567[[#This Row],[Total Descanso]]="",T_Fichar34567[Horas Trabajadas],T_Fichar34567[[#This Row],[Horas Trabajadas]]-T_Fichar34567[[#This Row],[Total Descanso]]),"")</f>
        <v/>
      </c>
    </row>
    <row r="38" spans="1:12" x14ac:dyDescent="0.2">
      <c r="A38">
        <v>28</v>
      </c>
      <c r="B38" s="9">
        <v>44405</v>
      </c>
      <c r="C38" s="6"/>
      <c r="D38" s="6"/>
      <c r="E38" s="6" t="str">
        <f>IF(T_Fichar34567[[#This Row],[Día]]="","",UPPER(TEXT(T_Fichar34567[[#This Row],[Día]],"MMMM")))</f>
        <v>JULIO</v>
      </c>
      <c r="F38" s="12"/>
      <c r="G38" s="12"/>
      <c r="H38"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8" s="12"/>
      <c r="J38" s="12"/>
      <c r="K38"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8" s="2" t="str">
        <f>IFERROR(IF(T_Fichar34567[[#This Row],[Total Descanso]]="",T_Fichar34567[Horas Trabajadas],T_Fichar34567[[#This Row],[Horas Trabajadas]]-T_Fichar34567[[#This Row],[Total Descanso]]),"")</f>
        <v/>
      </c>
    </row>
    <row r="39" spans="1:12" x14ac:dyDescent="0.2">
      <c r="A39">
        <v>29</v>
      </c>
      <c r="B39" s="9">
        <v>44406</v>
      </c>
      <c r="C39" s="6"/>
      <c r="D39" s="6"/>
      <c r="E39" s="6" t="str">
        <f>IF(T_Fichar34567[[#This Row],[Día]]="","",UPPER(TEXT(T_Fichar34567[[#This Row],[Día]],"MMMM")))</f>
        <v>JULIO</v>
      </c>
      <c r="F39" s="12"/>
      <c r="G39" s="12"/>
      <c r="H39"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39" s="12"/>
      <c r="J39" s="12"/>
      <c r="K39"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39" s="2" t="str">
        <f>IFERROR(IF(T_Fichar34567[[#This Row],[Total Descanso]]="",T_Fichar34567[Horas Trabajadas],T_Fichar34567[[#This Row],[Horas Trabajadas]]-T_Fichar34567[[#This Row],[Total Descanso]]),"")</f>
        <v/>
      </c>
    </row>
    <row r="40" spans="1:12" x14ac:dyDescent="0.2">
      <c r="A40">
        <v>30</v>
      </c>
      <c r="B40" s="9">
        <v>44407</v>
      </c>
      <c r="C40" s="6"/>
      <c r="D40" s="6"/>
      <c r="E40" s="6" t="str">
        <f>IF(T_Fichar34567[[#This Row],[Día]]="","",UPPER(TEXT(T_Fichar34567[[#This Row],[Día]],"MMMM")))</f>
        <v>JULIO</v>
      </c>
      <c r="F40" s="12"/>
      <c r="G40" s="12"/>
      <c r="H40"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40" s="12"/>
      <c r="J40" s="12"/>
      <c r="K40"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40" s="2" t="str">
        <f>IFERROR(IF(T_Fichar34567[[#This Row],[Total Descanso]]="",T_Fichar34567[Horas Trabajadas],T_Fichar34567[[#This Row],[Horas Trabajadas]]-T_Fichar34567[[#This Row],[Total Descanso]]),"")</f>
        <v/>
      </c>
    </row>
    <row r="41" spans="1:12" ht="15.75" thickBot="1" x14ac:dyDescent="0.25">
      <c r="A41">
        <v>31</v>
      </c>
      <c r="B41" s="9">
        <v>44408</v>
      </c>
      <c r="C41" s="6"/>
      <c r="D41" s="6"/>
      <c r="E41" s="6" t="str">
        <f>IF(T_Fichar34567[[#This Row],[Día]]="","",UPPER(TEXT(T_Fichar34567[[#This Row],[Día]],"MMMM")))</f>
        <v>JULIO</v>
      </c>
      <c r="F41" s="12"/>
      <c r="G41" s="12"/>
      <c r="H41" s="1" t="str">
        <f>IFERROR(IF(OR(T_Fichar34567[[#This Row],[Hora de Salida]]="",T_Fichar34567[[#This Row],[Hora de Entrada]]=""),"",IF(T_Fichar34567[[#This Row],[Hora de Entrada]]&gt;T_Fichar34567[[#This Row],[Hora de Salida]],(1-T_Fichar34567[[#This Row],[Hora de Entrada]])+(T_Fichar34567[[#This Row],[Hora de Salida]]),T_Fichar34567[[#This Row],[Hora de Salida]]-T_Fichar34567[[#This Row],[Hora de Entrada]])),"")</f>
        <v/>
      </c>
      <c r="I41" s="12"/>
      <c r="J41" s="12"/>
      <c r="K41" s="1" t="str">
        <f>IFERROR(IF(OR(T_Fichar34567[[#This Row],[Salida Descanso]]="",T_Fichar34567[[#This Row],[Regreso Descanso]]=""),"",IF(T_Fichar34567[[#This Row],[Salida Descanso]]&gt;T_Fichar34567[[#This Row],[Regreso Descanso]],(1-T_Fichar34567[[#This Row],[Salida Descanso]])+T_Fichar34567[[#This Row],[Regreso Descanso]],T_Fichar34567[[#This Row],[Regreso Descanso]]-T_Fichar34567[[#This Row],[Salida Descanso]])),"")</f>
        <v/>
      </c>
      <c r="L41" s="2" t="str">
        <f>IFERROR(IF(T_Fichar34567[[#This Row],[Total Descanso]]="",T_Fichar34567[Horas Trabajadas],T_Fichar34567[[#This Row],[Horas Trabajadas]]-T_Fichar34567[[#This Row],[Total Descanso]]),"")</f>
        <v/>
      </c>
    </row>
    <row r="42" spans="1:12" ht="19.5" thickTop="1" x14ac:dyDescent="0.2">
      <c r="B42" s="14" t="s">
        <v>5</v>
      </c>
      <c r="C42" s="15"/>
      <c r="D42" s="15"/>
      <c r="E42" s="15"/>
      <c r="F42" s="16"/>
      <c r="G42" s="16"/>
      <c r="H42" s="17">
        <f>SUBTOTAL(109,T_Fichar34567[Horas Trabajadas])</f>
        <v>0</v>
      </c>
      <c r="I42" s="15"/>
      <c r="J42" s="17"/>
      <c r="K42" s="17">
        <f>SUBTOTAL(109,T_Fichar34567[Total Descanso])</f>
        <v>0</v>
      </c>
      <c r="L42" s="18">
        <f>SUBTOTAL(109,T_Fichar34567[Total Horas menos Descanso])</f>
        <v>0</v>
      </c>
    </row>
    <row r="53" spans="2:12" x14ac:dyDescent="0.2">
      <c r="B53" s="22" t="s">
        <v>18</v>
      </c>
      <c r="C53" s="22"/>
      <c r="D53" s="22"/>
      <c r="E53" s="22"/>
      <c r="F53" s="22"/>
      <c r="G53" s="22"/>
      <c r="H53" s="21"/>
      <c r="I53" s="22"/>
      <c r="J53" s="22"/>
      <c r="K53" s="23"/>
      <c r="L53" s="23"/>
    </row>
  </sheetData>
  <sheetProtection insertRows="0" deleteRows="0" autoFilter="0" pivotTables="0"/>
  <mergeCells count="1">
    <mergeCell ref="C4:F4"/>
  </mergeCells>
  <phoneticPr fontId="5" alignment="center"/>
  <dataValidations count="2">
    <dataValidation type="date" allowBlank="1" showInputMessage="1" showErrorMessage="1" errorTitle="Error al escribir la fecha" error="Formato DD/MM/AAAA_x000a_" promptTitle="Escribe la fecha de trabajo" prompt="Formato DD/MM/AAAA_x000a_" sqref="B11:D41" xr:uid="{E0DA638F-A5C0-C747-8EFD-0F8B212B3145}">
      <formula1>43101</formula1>
      <formula2>55153</formula2>
    </dataValidation>
    <dataValidation type="time" allowBlank="1" showInputMessage="1" showErrorMessage="1" errorTitle="Error en el formato" error="Escribe horas y minutos_x000a_HH:MM" promptTitle="Rellena Horas y Minutos" prompt="Formato HH:MM" sqref="I11:J41 F11:G41" xr:uid="{074E66E5-0BFE-6F41-8C53-127496E3067F}">
      <formula1>0</formula1>
      <formula2>0.999305555555556</formula2>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3B67-E9DA-5743-9BCB-B72E3DBF3459}">
  <dimension ref="A4:L53"/>
  <sheetViews>
    <sheetView showGridLines="0" workbookViewId="0">
      <pane ySplit="10" topLeftCell="A13" activePane="bottomLeft" state="frozen"/>
      <selection activeCell="F1" sqref="F1"/>
      <selection pane="bottomLeft" activeCell="E16" sqref="E16"/>
    </sheetView>
  </sheetViews>
  <sheetFormatPr defaultColWidth="10.76171875" defaultRowHeight="15" x14ac:dyDescent="0.2"/>
  <cols>
    <col min="2" max="2" width="12.64453125" style="10" bestFit="1" customWidth="1"/>
    <col min="3" max="3" width="10.76171875" style="4"/>
    <col min="4" max="4" width="11.97265625" style="4" customWidth="1"/>
    <col min="5" max="5" width="10.76171875" style="4"/>
    <col min="6" max="6" width="15.06640625" style="13" customWidth="1"/>
    <col min="7" max="7" width="13.85546875" style="13" customWidth="1"/>
    <col min="8" max="8" width="14.796875" style="3" customWidth="1"/>
    <col min="9" max="10" width="14.796875" style="10" customWidth="1"/>
    <col min="11" max="12" width="14.796875" style="4" customWidth="1"/>
  </cols>
  <sheetData>
    <row r="4" spans="1:12" x14ac:dyDescent="0.2">
      <c r="B4" s="24" t="s">
        <v>17</v>
      </c>
      <c r="C4" s="48" t="s">
        <v>21</v>
      </c>
      <c r="D4" s="48"/>
      <c r="E4" s="48"/>
      <c r="F4" s="48"/>
      <c r="I4" s="3" t="s">
        <v>12</v>
      </c>
    </row>
    <row r="5" spans="1:12" x14ac:dyDescent="0.2">
      <c r="B5" s="24" t="s">
        <v>13</v>
      </c>
      <c r="D5" s="24" t="s">
        <v>22</v>
      </c>
      <c r="H5" s="20" t="s">
        <v>14</v>
      </c>
      <c r="I5" s="19" t="s">
        <v>20</v>
      </c>
    </row>
    <row r="6" spans="1:12" x14ac:dyDescent="0.2">
      <c r="B6" s="24"/>
      <c r="C6" s="24"/>
      <c r="H6" s="20" t="s">
        <v>15</v>
      </c>
      <c r="I6" s="10" t="s">
        <v>19</v>
      </c>
    </row>
    <row r="7" spans="1:12" x14ac:dyDescent="0.2">
      <c r="B7" s="24"/>
      <c r="C7" s="24"/>
      <c r="H7" s="20" t="s">
        <v>23</v>
      </c>
      <c r="I7" s="10">
        <v>700</v>
      </c>
    </row>
    <row r="8" spans="1:12" x14ac:dyDescent="0.2">
      <c r="B8" s="24"/>
      <c r="C8" s="24"/>
      <c r="D8" s="24"/>
      <c r="H8" s="20" t="s">
        <v>16</v>
      </c>
      <c r="I8" s="26">
        <v>44409</v>
      </c>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9">
        <v>44409</v>
      </c>
      <c r="C11" s="6"/>
      <c r="D11" s="25"/>
      <c r="E11" s="6" t="str">
        <f>IF(T_Fichar3456[[#This Row],[Día]]="","",UPPER(TEXT(T_Fichar3456[[#This Row],[Día]],"MMMM")))</f>
        <v>AGOSTO</v>
      </c>
      <c r="F11" s="12"/>
      <c r="G11" s="12"/>
      <c r="H11"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11" s="12"/>
      <c r="J11" s="12"/>
      <c r="K11"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11" s="2" t="str">
        <f>IFERROR(IF(T_Fichar3456[[#This Row],[Total Descanso]]="",T_Fichar3456[Horas Trabajadas],T_Fichar3456[[#This Row],[Horas Trabajadas]]-T_Fichar3456[[#This Row],[Total Descanso]]),"")</f>
        <v/>
      </c>
    </row>
    <row r="12" spans="1:12" x14ac:dyDescent="0.2">
      <c r="A12">
        <v>2</v>
      </c>
      <c r="B12" s="9">
        <v>44410</v>
      </c>
      <c r="C12" s="6"/>
      <c r="D12" s="6"/>
      <c r="E12" s="6" t="str">
        <f>IF(T_Fichar3456[[#This Row],[Día]]="","",UPPER(TEXT(T_Fichar3456[[#This Row],[Día]],"MMMM")))</f>
        <v>AGOSTO</v>
      </c>
      <c r="F12" s="12"/>
      <c r="G12" s="12"/>
      <c r="H12"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12" s="12"/>
      <c r="J12" s="12"/>
      <c r="K12"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12" s="2" t="str">
        <f>IFERROR(IF(T_Fichar3456[[#This Row],[Total Descanso]]="",T_Fichar3456[Horas Trabajadas],T_Fichar3456[[#This Row],[Horas Trabajadas]]-T_Fichar3456[[#This Row],[Total Descanso]]),"")</f>
        <v/>
      </c>
    </row>
    <row r="13" spans="1:12" x14ac:dyDescent="0.2">
      <c r="A13">
        <v>3</v>
      </c>
      <c r="B13" s="9">
        <v>44411</v>
      </c>
      <c r="C13" s="6"/>
      <c r="D13" s="6"/>
      <c r="E13" s="6" t="str">
        <f>IF(T_Fichar3456[[#This Row],[Día]]="","",UPPER(TEXT(T_Fichar3456[[#This Row],[Día]],"MMMM")))</f>
        <v>AGOSTO</v>
      </c>
      <c r="F13" s="12"/>
      <c r="G13" s="12"/>
      <c r="H13"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13" s="12"/>
      <c r="J13" s="12"/>
      <c r="K13"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13" s="2" t="str">
        <f>IFERROR(IF(T_Fichar3456[[#This Row],[Total Descanso]]="",T_Fichar3456[Horas Trabajadas],T_Fichar3456[[#This Row],[Horas Trabajadas]]-T_Fichar3456[[#This Row],[Total Descanso]]),"")</f>
        <v/>
      </c>
    </row>
    <row r="14" spans="1:12" x14ac:dyDescent="0.2">
      <c r="A14">
        <v>4</v>
      </c>
      <c r="B14" s="9">
        <v>44412</v>
      </c>
      <c r="C14" s="6"/>
      <c r="D14" s="6"/>
      <c r="E14" s="6" t="str">
        <f>IF(T_Fichar3456[[#This Row],[Día]]="","",UPPER(TEXT(T_Fichar3456[[#This Row],[Día]],"MMMM")))</f>
        <v>AGOSTO</v>
      </c>
      <c r="F14" s="12"/>
      <c r="G14" s="12"/>
      <c r="H14"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14" s="12"/>
      <c r="J14" s="12"/>
      <c r="K14"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14" s="2" t="str">
        <f>IFERROR(IF(T_Fichar3456[[#This Row],[Total Descanso]]="",T_Fichar3456[Horas Trabajadas],T_Fichar3456[[#This Row],[Horas Trabajadas]]-T_Fichar3456[[#This Row],[Total Descanso]]),"")</f>
        <v/>
      </c>
    </row>
    <row r="15" spans="1:12" x14ac:dyDescent="0.2">
      <c r="A15">
        <v>5</v>
      </c>
      <c r="B15" s="9">
        <v>44413</v>
      </c>
      <c r="C15" s="6"/>
      <c r="D15" s="6"/>
      <c r="E15" s="6" t="str">
        <f>IF(T_Fichar3456[[#This Row],[Día]]="","",UPPER(TEXT(T_Fichar3456[[#This Row],[Día]],"MMMM")))</f>
        <v>AGOSTO</v>
      </c>
      <c r="F15" s="12"/>
      <c r="G15" s="12"/>
      <c r="H15"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15" s="12"/>
      <c r="J15" s="12"/>
      <c r="K15"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15" s="2" t="str">
        <f>IFERROR(IF(T_Fichar3456[[#This Row],[Total Descanso]]="",T_Fichar3456[Horas Trabajadas],T_Fichar3456[[#This Row],[Horas Trabajadas]]-T_Fichar3456[[#This Row],[Total Descanso]]),"")</f>
        <v/>
      </c>
    </row>
    <row r="16" spans="1:12" x14ac:dyDescent="0.2">
      <c r="A16">
        <v>6</v>
      </c>
      <c r="B16" s="9">
        <v>44414</v>
      </c>
      <c r="C16" s="6"/>
      <c r="D16" s="6"/>
      <c r="E16" s="6" t="str">
        <f>IF(T_Fichar3456[[#This Row],[Día]]="","",UPPER(TEXT(T_Fichar3456[[#This Row],[Día]],"MMMM")))</f>
        <v>AGOSTO</v>
      </c>
      <c r="F16" s="12"/>
      <c r="G16" s="12"/>
      <c r="H16" s="1"/>
      <c r="I16" s="12"/>
      <c r="J16" s="12"/>
      <c r="K16" s="1"/>
      <c r="L16" s="2"/>
    </row>
    <row r="17" spans="1:12" x14ac:dyDescent="0.2">
      <c r="A17">
        <v>7</v>
      </c>
      <c r="B17" s="9">
        <v>44415</v>
      </c>
      <c r="C17" s="6"/>
      <c r="D17" s="6"/>
      <c r="E17" s="6" t="str">
        <f>IF(T_Fichar3456[[#This Row],[Día]]="","",UPPER(TEXT(T_Fichar3456[[#This Row],[Día]],"MMMM")))</f>
        <v>AGOSTO</v>
      </c>
      <c r="F17" s="12"/>
      <c r="G17" s="12"/>
      <c r="H17"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17" s="12"/>
      <c r="J17" s="12"/>
      <c r="K17"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17" s="2" t="str">
        <f>IFERROR(IF(T_Fichar3456[[#This Row],[Total Descanso]]="",T_Fichar3456[Horas Trabajadas],T_Fichar3456[[#This Row],[Horas Trabajadas]]-T_Fichar3456[[#This Row],[Total Descanso]]),"")</f>
        <v/>
      </c>
    </row>
    <row r="18" spans="1:12" x14ac:dyDescent="0.2">
      <c r="A18">
        <v>8</v>
      </c>
      <c r="B18" s="9">
        <v>44416</v>
      </c>
      <c r="C18" s="6"/>
      <c r="D18" s="6"/>
      <c r="E18" s="6" t="str">
        <f>IF(T_Fichar3456[[#This Row],[Día]]="","",UPPER(TEXT(T_Fichar3456[[#This Row],[Día]],"MMMM")))</f>
        <v>AGOSTO</v>
      </c>
      <c r="F18" s="12"/>
      <c r="G18" s="12"/>
      <c r="H18"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18" s="12"/>
      <c r="J18" s="12"/>
      <c r="K18"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18" s="2" t="str">
        <f>IFERROR(IF(T_Fichar3456[[#This Row],[Total Descanso]]="",T_Fichar3456[Horas Trabajadas],T_Fichar3456[[#This Row],[Horas Trabajadas]]-T_Fichar3456[[#This Row],[Total Descanso]]),"")</f>
        <v/>
      </c>
    </row>
    <row r="19" spans="1:12" x14ac:dyDescent="0.2">
      <c r="A19">
        <v>9</v>
      </c>
      <c r="B19" s="9">
        <v>44417</v>
      </c>
      <c r="C19" s="6"/>
      <c r="D19" s="6"/>
      <c r="E19" s="6" t="str">
        <f>IF(T_Fichar3456[[#This Row],[Día]]="","",UPPER(TEXT(T_Fichar3456[[#This Row],[Día]],"MMMM")))</f>
        <v>AGOSTO</v>
      </c>
      <c r="F19" s="12"/>
      <c r="G19" s="12"/>
      <c r="H19"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19" s="12"/>
      <c r="J19" s="12"/>
      <c r="K19"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19" s="2" t="str">
        <f>IFERROR(IF(T_Fichar3456[[#This Row],[Total Descanso]]="",T_Fichar3456[Horas Trabajadas],T_Fichar3456[[#This Row],[Horas Trabajadas]]-T_Fichar3456[[#This Row],[Total Descanso]]),"")</f>
        <v/>
      </c>
    </row>
    <row r="20" spans="1:12" x14ac:dyDescent="0.2">
      <c r="A20">
        <v>10</v>
      </c>
      <c r="B20" s="9">
        <v>44418</v>
      </c>
      <c r="C20" s="6"/>
      <c r="D20" s="6"/>
      <c r="E20" s="6" t="str">
        <f>IF(T_Fichar3456[[#This Row],[Día]]="","",UPPER(TEXT(T_Fichar3456[[#This Row],[Día]],"MMMM")))</f>
        <v>AGOSTO</v>
      </c>
      <c r="F20" s="12"/>
      <c r="G20" s="12"/>
      <c r="H20"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0" s="12"/>
      <c r="J20" s="12"/>
      <c r="K20"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0" s="2" t="str">
        <f>IFERROR(IF(T_Fichar3456[[#This Row],[Total Descanso]]="",T_Fichar3456[Horas Trabajadas],T_Fichar3456[[#This Row],[Horas Trabajadas]]-T_Fichar3456[[#This Row],[Total Descanso]]),"")</f>
        <v/>
      </c>
    </row>
    <row r="21" spans="1:12" x14ac:dyDescent="0.2">
      <c r="A21">
        <v>11</v>
      </c>
      <c r="B21" s="9">
        <v>44419</v>
      </c>
      <c r="C21" s="6"/>
      <c r="D21" s="6"/>
      <c r="E21" s="6" t="str">
        <f>IF(T_Fichar3456[[#This Row],[Día]]="","",UPPER(TEXT(T_Fichar3456[[#This Row],[Día]],"MMMM")))</f>
        <v>AGOSTO</v>
      </c>
      <c r="F21" s="12"/>
      <c r="G21" s="12"/>
      <c r="H21"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1" s="12"/>
      <c r="J21" s="12"/>
      <c r="K21"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1" s="2" t="str">
        <f>IFERROR(IF(T_Fichar3456[[#This Row],[Total Descanso]]="",T_Fichar3456[Horas Trabajadas],T_Fichar3456[[#This Row],[Horas Trabajadas]]-T_Fichar3456[[#This Row],[Total Descanso]]),"")</f>
        <v/>
      </c>
    </row>
    <row r="22" spans="1:12" x14ac:dyDescent="0.2">
      <c r="A22">
        <v>12</v>
      </c>
      <c r="B22" s="9">
        <v>44420</v>
      </c>
      <c r="C22" s="6"/>
      <c r="D22" s="6"/>
      <c r="E22" s="6" t="str">
        <f>IF(T_Fichar3456[[#This Row],[Día]]="","",UPPER(TEXT(T_Fichar3456[[#This Row],[Día]],"MMMM")))</f>
        <v>AGOSTO</v>
      </c>
      <c r="F22" s="12"/>
      <c r="G22" s="12"/>
      <c r="H22"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2" s="12"/>
      <c r="J22" s="12"/>
      <c r="K22"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2" s="2" t="str">
        <f>IFERROR(IF(T_Fichar3456[[#This Row],[Total Descanso]]="",T_Fichar3456[Horas Trabajadas],T_Fichar3456[[#This Row],[Horas Trabajadas]]-T_Fichar3456[[#This Row],[Total Descanso]]),"")</f>
        <v/>
      </c>
    </row>
    <row r="23" spans="1:12" x14ac:dyDescent="0.2">
      <c r="A23">
        <v>13</v>
      </c>
      <c r="B23" s="9">
        <v>44421</v>
      </c>
      <c r="C23" s="6"/>
      <c r="D23" s="6"/>
      <c r="E23" s="6" t="str">
        <f>IF(T_Fichar3456[[#This Row],[Día]]="","",UPPER(TEXT(T_Fichar3456[[#This Row],[Día]],"MMMM")))</f>
        <v>AGOSTO</v>
      </c>
      <c r="F23" s="12"/>
      <c r="G23" s="12"/>
      <c r="H23"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3" s="12"/>
      <c r="J23" s="12"/>
      <c r="K23"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3" s="2" t="str">
        <f>IFERROR(IF(T_Fichar3456[[#This Row],[Total Descanso]]="",T_Fichar3456[Horas Trabajadas],T_Fichar3456[[#This Row],[Horas Trabajadas]]-T_Fichar3456[[#This Row],[Total Descanso]]),"")</f>
        <v/>
      </c>
    </row>
    <row r="24" spans="1:12" x14ac:dyDescent="0.2">
      <c r="A24">
        <v>14</v>
      </c>
      <c r="B24" s="9">
        <v>44422</v>
      </c>
      <c r="C24" s="6"/>
      <c r="D24" s="6"/>
      <c r="E24" s="6" t="str">
        <f>IF(T_Fichar3456[[#This Row],[Día]]="","",UPPER(TEXT(T_Fichar3456[[#This Row],[Día]],"MMMM")))</f>
        <v>AGOSTO</v>
      </c>
      <c r="F24" s="12"/>
      <c r="G24" s="12"/>
      <c r="H24"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4" s="12"/>
      <c r="J24" s="12"/>
      <c r="K24"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4" s="2" t="str">
        <f>IFERROR(IF(T_Fichar3456[[#This Row],[Total Descanso]]="",T_Fichar3456[Horas Trabajadas],T_Fichar3456[[#This Row],[Horas Trabajadas]]-T_Fichar3456[[#This Row],[Total Descanso]]),"")</f>
        <v/>
      </c>
    </row>
    <row r="25" spans="1:12" x14ac:dyDescent="0.2">
      <c r="A25">
        <v>15</v>
      </c>
      <c r="B25" s="9">
        <v>44423</v>
      </c>
      <c r="C25" s="6"/>
      <c r="D25" s="6"/>
      <c r="E25" s="6" t="str">
        <f>IF(T_Fichar3456[[#This Row],[Día]]="","",UPPER(TEXT(T_Fichar3456[[#This Row],[Día]],"MMMM")))</f>
        <v>AGOSTO</v>
      </c>
      <c r="F25" s="12"/>
      <c r="G25" s="12"/>
      <c r="H25"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5" s="12"/>
      <c r="J25" s="12"/>
      <c r="K25"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5" s="2" t="str">
        <f>IFERROR(IF(T_Fichar3456[[#This Row],[Total Descanso]]="",T_Fichar3456[Horas Trabajadas],T_Fichar3456[[#This Row],[Horas Trabajadas]]-T_Fichar3456[[#This Row],[Total Descanso]]),"")</f>
        <v/>
      </c>
    </row>
    <row r="26" spans="1:12" x14ac:dyDescent="0.2">
      <c r="A26">
        <v>16</v>
      </c>
      <c r="B26" s="9">
        <v>44424</v>
      </c>
      <c r="C26" s="6"/>
      <c r="D26" s="6"/>
      <c r="E26" s="6" t="str">
        <f>IF(T_Fichar3456[[#This Row],[Día]]="","",UPPER(TEXT(T_Fichar3456[[#This Row],[Día]],"MMMM")))</f>
        <v>AGOSTO</v>
      </c>
      <c r="F26" s="12"/>
      <c r="G26" s="12"/>
      <c r="H26"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6" s="12"/>
      <c r="J26" s="12"/>
      <c r="K26"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6" s="2" t="str">
        <f>IFERROR(IF(T_Fichar3456[[#This Row],[Total Descanso]]="",T_Fichar3456[Horas Trabajadas],T_Fichar3456[[#This Row],[Horas Trabajadas]]-T_Fichar3456[[#This Row],[Total Descanso]]),"")</f>
        <v/>
      </c>
    </row>
    <row r="27" spans="1:12" x14ac:dyDescent="0.2">
      <c r="A27">
        <v>17</v>
      </c>
      <c r="B27" s="9">
        <v>44425</v>
      </c>
      <c r="C27" s="6"/>
      <c r="D27" s="6"/>
      <c r="E27" s="6" t="str">
        <f>IF(T_Fichar3456[[#This Row],[Día]]="","",UPPER(TEXT(T_Fichar3456[[#This Row],[Día]],"MMMM")))</f>
        <v>AGOSTO</v>
      </c>
      <c r="F27" s="12"/>
      <c r="G27" s="12"/>
      <c r="H27"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7" s="12"/>
      <c r="J27" s="12"/>
      <c r="K27"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7" s="2" t="str">
        <f>IFERROR(IF(T_Fichar3456[[#This Row],[Total Descanso]]="",T_Fichar3456[Horas Trabajadas],T_Fichar3456[[#This Row],[Horas Trabajadas]]-T_Fichar3456[[#This Row],[Total Descanso]]),"")</f>
        <v/>
      </c>
    </row>
    <row r="28" spans="1:12" x14ac:dyDescent="0.2">
      <c r="A28">
        <v>18</v>
      </c>
      <c r="B28" s="9">
        <v>44426</v>
      </c>
      <c r="C28" s="6"/>
      <c r="D28" s="6"/>
      <c r="E28" s="6" t="str">
        <f>IF(T_Fichar3456[[#This Row],[Día]]="","",UPPER(TEXT(T_Fichar3456[[#This Row],[Día]],"MMMM")))</f>
        <v>AGOSTO</v>
      </c>
      <c r="F28" s="12"/>
      <c r="G28" s="12"/>
      <c r="H28"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8" s="12"/>
      <c r="J28" s="12"/>
      <c r="K28"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8" s="2" t="str">
        <f>IFERROR(IF(T_Fichar3456[[#This Row],[Total Descanso]]="",T_Fichar3456[Horas Trabajadas],T_Fichar3456[[#This Row],[Horas Trabajadas]]-T_Fichar3456[[#This Row],[Total Descanso]]),"")</f>
        <v/>
      </c>
    </row>
    <row r="29" spans="1:12" x14ac:dyDescent="0.2">
      <c r="A29">
        <v>19</v>
      </c>
      <c r="B29" s="9">
        <v>44427</v>
      </c>
      <c r="C29" s="6"/>
      <c r="D29" s="6"/>
      <c r="E29" s="6" t="str">
        <f>IF(T_Fichar3456[[#This Row],[Día]]="","",UPPER(TEXT(T_Fichar3456[[#This Row],[Día]],"MMMM")))</f>
        <v>AGOSTO</v>
      </c>
      <c r="F29" s="12"/>
      <c r="G29" s="12"/>
      <c r="H29"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29" s="12"/>
      <c r="J29" s="12"/>
      <c r="K29"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29" s="2" t="str">
        <f>IFERROR(IF(T_Fichar3456[[#This Row],[Total Descanso]]="",T_Fichar3456[Horas Trabajadas],T_Fichar3456[[#This Row],[Horas Trabajadas]]-T_Fichar3456[[#This Row],[Total Descanso]]),"")</f>
        <v/>
      </c>
    </row>
    <row r="30" spans="1:12" x14ac:dyDescent="0.2">
      <c r="A30">
        <v>20</v>
      </c>
      <c r="B30" s="9">
        <v>44428</v>
      </c>
      <c r="C30" s="6"/>
      <c r="D30" s="6"/>
      <c r="E30" s="6" t="str">
        <f>IF(T_Fichar3456[[#This Row],[Día]]="","",UPPER(TEXT(T_Fichar3456[[#This Row],[Día]],"MMMM")))</f>
        <v>AGOSTO</v>
      </c>
      <c r="F30" s="12"/>
      <c r="G30" s="12"/>
      <c r="H30"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0" s="12"/>
      <c r="J30" s="12"/>
      <c r="K30"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0" s="2" t="str">
        <f>IFERROR(IF(T_Fichar3456[[#This Row],[Total Descanso]]="",T_Fichar3456[Horas Trabajadas],T_Fichar3456[[#This Row],[Horas Trabajadas]]-T_Fichar3456[[#This Row],[Total Descanso]]),"")</f>
        <v/>
      </c>
    </row>
    <row r="31" spans="1:12" x14ac:dyDescent="0.2">
      <c r="A31">
        <v>21</v>
      </c>
      <c r="B31" s="9">
        <v>44429</v>
      </c>
      <c r="C31" s="6"/>
      <c r="D31" s="6"/>
      <c r="E31" s="6" t="str">
        <f>IF(T_Fichar3456[[#This Row],[Día]]="","",UPPER(TEXT(T_Fichar3456[[#This Row],[Día]],"MMMM")))</f>
        <v>AGOSTO</v>
      </c>
      <c r="F31" s="12"/>
      <c r="G31" s="12"/>
      <c r="H31"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1" s="12"/>
      <c r="J31" s="12"/>
      <c r="K31"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1" s="2" t="str">
        <f>IFERROR(IF(T_Fichar3456[[#This Row],[Total Descanso]]="",T_Fichar3456[Horas Trabajadas],T_Fichar3456[[#This Row],[Horas Trabajadas]]-T_Fichar3456[[#This Row],[Total Descanso]]),"")</f>
        <v/>
      </c>
    </row>
    <row r="32" spans="1:12" x14ac:dyDescent="0.2">
      <c r="A32">
        <v>22</v>
      </c>
      <c r="B32" s="9">
        <v>44430</v>
      </c>
      <c r="C32" s="6"/>
      <c r="D32" s="6"/>
      <c r="E32" s="6" t="str">
        <f>IF(T_Fichar3456[[#This Row],[Día]]="","",UPPER(TEXT(T_Fichar3456[[#This Row],[Día]],"MMMM")))</f>
        <v>AGOSTO</v>
      </c>
      <c r="F32" s="12"/>
      <c r="G32" s="12"/>
      <c r="H32"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2" s="12"/>
      <c r="J32" s="12"/>
      <c r="K32"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2" s="2" t="str">
        <f>IFERROR(IF(T_Fichar3456[[#This Row],[Total Descanso]]="",T_Fichar3456[Horas Trabajadas],T_Fichar3456[[#This Row],[Horas Trabajadas]]-T_Fichar3456[[#This Row],[Total Descanso]]),"")</f>
        <v/>
      </c>
    </row>
    <row r="33" spans="1:12" x14ac:dyDescent="0.2">
      <c r="A33">
        <v>23</v>
      </c>
      <c r="B33" s="9">
        <v>44431</v>
      </c>
      <c r="C33" s="6"/>
      <c r="D33" s="6"/>
      <c r="E33" s="6" t="str">
        <f>IF(T_Fichar3456[[#This Row],[Día]]="","",UPPER(TEXT(T_Fichar3456[[#This Row],[Día]],"MMMM")))</f>
        <v>AGOSTO</v>
      </c>
      <c r="F33" s="12"/>
      <c r="G33" s="12"/>
      <c r="H33"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3" s="12"/>
      <c r="J33" s="12"/>
      <c r="K33"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3" s="2" t="str">
        <f>IFERROR(IF(T_Fichar3456[[#This Row],[Total Descanso]]="",T_Fichar3456[Horas Trabajadas],T_Fichar3456[[#This Row],[Horas Trabajadas]]-T_Fichar3456[[#This Row],[Total Descanso]]),"")</f>
        <v/>
      </c>
    </row>
    <row r="34" spans="1:12" x14ac:dyDescent="0.2">
      <c r="A34">
        <v>24</v>
      </c>
      <c r="B34" s="9">
        <v>44432</v>
      </c>
      <c r="C34" s="6"/>
      <c r="D34" s="6"/>
      <c r="E34" s="6" t="str">
        <f>IF(T_Fichar3456[[#This Row],[Día]]="","",UPPER(TEXT(T_Fichar3456[[#This Row],[Día]],"MMMM")))</f>
        <v>AGOSTO</v>
      </c>
      <c r="F34" s="12"/>
      <c r="G34" s="12"/>
      <c r="H34"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4" s="12"/>
      <c r="J34" s="12"/>
      <c r="K34"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4" s="2" t="str">
        <f>IFERROR(IF(T_Fichar3456[[#This Row],[Total Descanso]]="",T_Fichar3456[Horas Trabajadas],T_Fichar3456[[#This Row],[Horas Trabajadas]]-T_Fichar3456[[#This Row],[Total Descanso]]),"")</f>
        <v/>
      </c>
    </row>
    <row r="35" spans="1:12" x14ac:dyDescent="0.2">
      <c r="A35">
        <v>25</v>
      </c>
      <c r="B35" s="9">
        <v>44433</v>
      </c>
      <c r="C35" s="6"/>
      <c r="D35" s="6"/>
      <c r="E35" s="6" t="str">
        <f>IF(T_Fichar3456[[#This Row],[Día]]="","",UPPER(TEXT(T_Fichar3456[[#This Row],[Día]],"MMMM")))</f>
        <v>AGOSTO</v>
      </c>
      <c r="F35" s="12"/>
      <c r="G35" s="12"/>
      <c r="H35"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5" s="12"/>
      <c r="J35" s="12"/>
      <c r="K35"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5" s="2" t="str">
        <f>IFERROR(IF(T_Fichar3456[[#This Row],[Total Descanso]]="",T_Fichar3456[Horas Trabajadas],T_Fichar3456[[#This Row],[Horas Trabajadas]]-T_Fichar3456[[#This Row],[Total Descanso]]),"")</f>
        <v/>
      </c>
    </row>
    <row r="36" spans="1:12" x14ac:dyDescent="0.2">
      <c r="A36">
        <v>26</v>
      </c>
      <c r="B36" s="9">
        <v>44434</v>
      </c>
      <c r="C36" s="6"/>
      <c r="D36" s="6"/>
      <c r="E36" s="6" t="str">
        <f>IF(T_Fichar3456[[#This Row],[Día]]="","",UPPER(TEXT(T_Fichar3456[[#This Row],[Día]],"MMMM")))</f>
        <v>AGOSTO</v>
      </c>
      <c r="F36" s="12"/>
      <c r="G36" s="12"/>
      <c r="H36"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6" s="12"/>
      <c r="J36" s="12"/>
      <c r="K36"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6" s="2" t="str">
        <f>IFERROR(IF(T_Fichar3456[[#This Row],[Total Descanso]]="",T_Fichar3456[Horas Trabajadas],T_Fichar3456[[#This Row],[Horas Trabajadas]]-T_Fichar3456[[#This Row],[Total Descanso]]),"")</f>
        <v/>
      </c>
    </row>
    <row r="37" spans="1:12" x14ac:dyDescent="0.2">
      <c r="A37">
        <v>27</v>
      </c>
      <c r="B37" s="9">
        <v>44435</v>
      </c>
      <c r="C37" s="6"/>
      <c r="D37" s="6"/>
      <c r="E37" s="6" t="str">
        <f>IF(T_Fichar3456[[#This Row],[Día]]="","",UPPER(TEXT(T_Fichar3456[[#This Row],[Día]],"MMMM")))</f>
        <v>AGOSTO</v>
      </c>
      <c r="F37" s="12"/>
      <c r="G37" s="12"/>
      <c r="H37"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7" s="12"/>
      <c r="J37" s="12"/>
      <c r="K37"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7" s="2" t="str">
        <f>IFERROR(IF(T_Fichar3456[[#This Row],[Total Descanso]]="",T_Fichar3456[Horas Trabajadas],T_Fichar3456[[#This Row],[Horas Trabajadas]]-T_Fichar3456[[#This Row],[Total Descanso]]),"")</f>
        <v/>
      </c>
    </row>
    <row r="38" spans="1:12" x14ac:dyDescent="0.2">
      <c r="A38">
        <v>28</v>
      </c>
      <c r="B38" s="9">
        <v>44436</v>
      </c>
      <c r="C38" s="6"/>
      <c r="D38" s="6"/>
      <c r="E38" s="6" t="str">
        <f>IF(T_Fichar3456[[#This Row],[Día]]="","",UPPER(TEXT(T_Fichar3456[[#This Row],[Día]],"MMMM")))</f>
        <v>AGOSTO</v>
      </c>
      <c r="F38" s="12"/>
      <c r="G38" s="12"/>
      <c r="H38"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8" s="12"/>
      <c r="J38" s="12"/>
      <c r="K38"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8" s="2" t="str">
        <f>IFERROR(IF(T_Fichar3456[[#This Row],[Total Descanso]]="",T_Fichar3456[Horas Trabajadas],T_Fichar3456[[#This Row],[Horas Trabajadas]]-T_Fichar3456[[#This Row],[Total Descanso]]),"")</f>
        <v/>
      </c>
    </row>
    <row r="39" spans="1:12" x14ac:dyDescent="0.2">
      <c r="A39">
        <v>29</v>
      </c>
      <c r="B39" s="9">
        <v>44437</v>
      </c>
      <c r="C39" s="6"/>
      <c r="D39" s="6"/>
      <c r="E39" s="6" t="str">
        <f>IF(T_Fichar3456[[#This Row],[Día]]="","",UPPER(TEXT(T_Fichar3456[[#This Row],[Día]],"MMMM")))</f>
        <v>AGOSTO</v>
      </c>
      <c r="F39" s="12"/>
      <c r="G39" s="12"/>
      <c r="H39"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39" s="12"/>
      <c r="J39" s="12"/>
      <c r="K39"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39" s="2" t="str">
        <f>IFERROR(IF(T_Fichar3456[[#This Row],[Total Descanso]]="",T_Fichar3456[Horas Trabajadas],T_Fichar3456[[#This Row],[Horas Trabajadas]]-T_Fichar3456[[#This Row],[Total Descanso]]),"")</f>
        <v/>
      </c>
    </row>
    <row r="40" spans="1:12" x14ac:dyDescent="0.2">
      <c r="A40">
        <v>30</v>
      </c>
      <c r="B40" s="9">
        <v>44438</v>
      </c>
      <c r="C40" s="6"/>
      <c r="D40" s="6"/>
      <c r="E40" s="6" t="str">
        <f>IF(T_Fichar3456[[#This Row],[Día]]="","",UPPER(TEXT(T_Fichar3456[[#This Row],[Día]],"MMMM")))</f>
        <v>AGOSTO</v>
      </c>
      <c r="F40" s="12"/>
      <c r="G40" s="12"/>
      <c r="H40"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40" s="12"/>
      <c r="J40" s="12"/>
      <c r="K40"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40" s="2" t="str">
        <f>IFERROR(IF(T_Fichar3456[[#This Row],[Total Descanso]]="",T_Fichar3456[Horas Trabajadas],T_Fichar3456[[#This Row],[Horas Trabajadas]]-T_Fichar3456[[#This Row],[Total Descanso]]),"")</f>
        <v/>
      </c>
    </row>
    <row r="41" spans="1:12" ht="15.75" thickBot="1" x14ac:dyDescent="0.25">
      <c r="A41">
        <v>31</v>
      </c>
      <c r="B41" s="9">
        <v>44439</v>
      </c>
      <c r="C41" s="6"/>
      <c r="D41" s="6"/>
      <c r="E41" s="6" t="str">
        <f>IF(T_Fichar3456[[#This Row],[Día]]="","",UPPER(TEXT(T_Fichar3456[[#This Row],[Día]],"MMMM")))</f>
        <v>AGOSTO</v>
      </c>
      <c r="F41" s="12"/>
      <c r="G41" s="12"/>
      <c r="H41" s="1" t="str">
        <f>IFERROR(IF(OR(T_Fichar3456[[#This Row],[Hora de Salida]]="",T_Fichar3456[[#This Row],[Hora de Entrada]]=""),"",IF(T_Fichar3456[[#This Row],[Hora de Entrada]]&gt;T_Fichar3456[[#This Row],[Hora de Salida]],(1-T_Fichar3456[[#This Row],[Hora de Entrada]])+(T_Fichar3456[[#This Row],[Hora de Salida]]),T_Fichar3456[[#This Row],[Hora de Salida]]-T_Fichar3456[[#This Row],[Hora de Entrada]])),"")</f>
        <v/>
      </c>
      <c r="I41" s="12"/>
      <c r="J41" s="12"/>
      <c r="K41" s="1" t="str">
        <f>IFERROR(IF(OR(T_Fichar3456[[#This Row],[Salida Descanso]]="",T_Fichar3456[[#This Row],[Regreso Descanso]]=""),"",IF(T_Fichar3456[[#This Row],[Salida Descanso]]&gt;T_Fichar3456[[#This Row],[Regreso Descanso]],(1-T_Fichar3456[[#This Row],[Salida Descanso]])+T_Fichar3456[[#This Row],[Regreso Descanso]],T_Fichar3456[[#This Row],[Regreso Descanso]]-T_Fichar3456[[#This Row],[Salida Descanso]])),"")</f>
        <v/>
      </c>
      <c r="L41" s="2" t="str">
        <f>IFERROR(IF(T_Fichar3456[[#This Row],[Total Descanso]]="",T_Fichar3456[Horas Trabajadas],T_Fichar3456[[#This Row],[Horas Trabajadas]]-T_Fichar3456[[#This Row],[Total Descanso]]),"")</f>
        <v/>
      </c>
    </row>
    <row r="42" spans="1:12" ht="19.5" thickTop="1" x14ac:dyDescent="0.2">
      <c r="B42" s="14" t="s">
        <v>5</v>
      </c>
      <c r="C42" s="15"/>
      <c r="D42" s="15"/>
      <c r="E42" s="15"/>
      <c r="F42" s="16"/>
      <c r="G42" s="16"/>
      <c r="H42" s="17">
        <f>SUBTOTAL(109,T_Fichar3456[Horas Trabajadas])</f>
        <v>0</v>
      </c>
      <c r="I42" s="15"/>
      <c r="J42" s="17"/>
      <c r="K42" s="17">
        <f>SUBTOTAL(109,T_Fichar3456[Total Descanso])</f>
        <v>0</v>
      </c>
      <c r="L42" s="18">
        <f>SUBTOTAL(109,T_Fichar3456[Total Horas menos Descanso])</f>
        <v>0</v>
      </c>
    </row>
    <row r="53" spans="2:12" x14ac:dyDescent="0.2">
      <c r="B53" s="22" t="s">
        <v>18</v>
      </c>
      <c r="C53" s="22"/>
      <c r="D53" s="22"/>
      <c r="E53" s="22"/>
      <c r="F53" s="22"/>
      <c r="G53" s="22"/>
      <c r="H53" s="21"/>
      <c r="I53" s="22"/>
      <c r="J53" s="22"/>
      <c r="K53" s="23"/>
      <c r="L53" s="23"/>
    </row>
  </sheetData>
  <sheetProtection insertRows="0" deleteRows="0" autoFilter="0" pivotTables="0"/>
  <mergeCells count="1">
    <mergeCell ref="C4:F4"/>
  </mergeCells>
  <phoneticPr fontId="5" alignment="center"/>
  <dataValidations count="2">
    <dataValidation type="time" allowBlank="1" showInputMessage="1" showErrorMessage="1" errorTitle="Error en el formato" error="Escribe horas y minutos_x000a_HH:MM" promptTitle="Rellena Horas y Minutos" prompt="Formato HH:MM" sqref="I11:J41 F11:G41" xr:uid="{B046C109-AEE8-F248-BB51-6FC2309FACDD}">
      <formula1>0</formula1>
      <formula2>0.999305555555556</formula2>
    </dataValidation>
    <dataValidation type="date" allowBlank="1" showInputMessage="1" showErrorMessage="1" errorTitle="Error al escribir la fecha" error="Formato DD/MM/AAAA_x000a_" promptTitle="Escribe la fecha de trabajo" prompt="Formato DD/MM/AAAA_x000a_" sqref="B11:D41" xr:uid="{824BDD35-DA01-FC41-BB41-53C9B37B320B}">
      <formula1>43101</formula1>
      <formula2>55153</formula2>
    </dataValidation>
  </dataValidations>
  <pageMargins left="0.7" right="0.7" top="0.75" bottom="0.75" header="0.3" footer="0.3"/>
  <pageSetup paperSize="9" orientation="portrait" horizontalDpi="300" verticalDpi="3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50F91-3339-724A-87F1-76D5244FAE67}">
  <dimension ref="A4:L53"/>
  <sheetViews>
    <sheetView showGridLines="0" topLeftCell="G1" workbookViewId="0">
      <pane ySplit="10" topLeftCell="G36" activePane="bottomLeft" state="frozen"/>
      <selection activeCell="F1" sqref="F1"/>
      <selection pane="bottomLeft" activeCell="I9" sqref="I9"/>
    </sheetView>
  </sheetViews>
  <sheetFormatPr defaultColWidth="10.76171875" defaultRowHeight="15" x14ac:dyDescent="0.2"/>
  <cols>
    <col min="2" max="2" width="12.64453125" style="10" bestFit="1" customWidth="1"/>
    <col min="3" max="3" width="10.76171875" style="4"/>
    <col min="4" max="4" width="11.97265625" style="4" customWidth="1"/>
    <col min="5" max="5" width="10.76171875" style="4"/>
    <col min="6" max="6" width="15.06640625" style="13" customWidth="1"/>
    <col min="7" max="7" width="13.85546875" style="13" customWidth="1"/>
    <col min="8" max="8" width="14.796875" style="3" customWidth="1"/>
    <col min="9" max="10" width="14.796875" style="10" customWidth="1"/>
    <col min="11" max="12" width="14.796875" style="4" customWidth="1"/>
  </cols>
  <sheetData>
    <row r="4" spans="1:12" x14ac:dyDescent="0.2">
      <c r="B4" s="24" t="s">
        <v>17</v>
      </c>
      <c r="C4" s="48" t="s">
        <v>21</v>
      </c>
      <c r="D4" s="48"/>
      <c r="E4" s="48"/>
      <c r="F4" s="48"/>
      <c r="I4" s="3" t="s">
        <v>12</v>
      </c>
    </row>
    <row r="5" spans="1:12" x14ac:dyDescent="0.2">
      <c r="B5" s="24" t="s">
        <v>13</v>
      </c>
      <c r="D5" s="24" t="s">
        <v>22</v>
      </c>
      <c r="H5" s="20" t="s">
        <v>14</v>
      </c>
      <c r="I5" s="19" t="s">
        <v>20</v>
      </c>
    </row>
    <row r="6" spans="1:12" x14ac:dyDescent="0.2">
      <c r="B6" s="24"/>
      <c r="C6" s="24"/>
      <c r="H6" s="20" t="s">
        <v>15</v>
      </c>
      <c r="I6" s="10" t="s">
        <v>19</v>
      </c>
    </row>
    <row r="7" spans="1:12" x14ac:dyDescent="0.2">
      <c r="B7" s="24"/>
      <c r="C7" s="24"/>
      <c r="H7" s="20" t="s">
        <v>23</v>
      </c>
      <c r="I7" s="10">
        <v>700</v>
      </c>
    </row>
    <row r="8" spans="1:12" x14ac:dyDescent="0.2">
      <c r="B8" s="24"/>
      <c r="C8" s="24"/>
      <c r="D8" s="24"/>
      <c r="H8" s="20" t="s">
        <v>16</v>
      </c>
      <c r="I8" s="26">
        <v>44440</v>
      </c>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9">
        <v>44440</v>
      </c>
      <c r="C11" s="6"/>
      <c r="D11" s="25"/>
      <c r="E11" s="6" t="str">
        <f>IF(T_Fichar345[[#This Row],[Día]]="","",UPPER(TEXT(T_Fichar345[[#This Row],[Día]],"MMMM")))</f>
        <v>SEPTIEMBRE</v>
      </c>
      <c r="F11" s="12"/>
      <c r="G11" s="12"/>
      <c r="H11"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11" s="12"/>
      <c r="J11" s="12"/>
      <c r="K11"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11" s="2" t="str">
        <f>IFERROR(IF(T_Fichar345[[#This Row],[Total Descanso]]="",T_Fichar345[Horas Trabajadas],T_Fichar345[[#This Row],[Horas Trabajadas]]-T_Fichar345[[#This Row],[Total Descanso]]),"")</f>
        <v/>
      </c>
    </row>
    <row r="12" spans="1:12" x14ac:dyDescent="0.2">
      <c r="A12">
        <v>2</v>
      </c>
      <c r="B12" s="9">
        <v>44441</v>
      </c>
      <c r="C12" s="6"/>
      <c r="D12" s="6"/>
      <c r="E12" s="6" t="str">
        <f>IF(T_Fichar345[[#This Row],[Día]]="","",UPPER(TEXT(T_Fichar345[[#This Row],[Día]],"MMMM")))</f>
        <v>SEPTIEMBRE</v>
      </c>
      <c r="F12" s="12"/>
      <c r="G12" s="12"/>
      <c r="H12"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12" s="12"/>
      <c r="J12" s="12"/>
      <c r="K12"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12" s="2" t="str">
        <f>IFERROR(IF(T_Fichar345[[#This Row],[Total Descanso]]="",T_Fichar345[Horas Trabajadas],T_Fichar345[[#This Row],[Horas Trabajadas]]-T_Fichar345[[#This Row],[Total Descanso]]),"")</f>
        <v/>
      </c>
    </row>
    <row r="13" spans="1:12" x14ac:dyDescent="0.2">
      <c r="A13">
        <v>3</v>
      </c>
      <c r="B13" s="9">
        <v>44442</v>
      </c>
      <c r="C13" s="6"/>
      <c r="D13" s="6"/>
      <c r="E13" s="6" t="str">
        <f>IF(T_Fichar345[[#This Row],[Día]]="","",UPPER(TEXT(T_Fichar345[[#This Row],[Día]],"MMMM")))</f>
        <v>SEPTIEMBRE</v>
      </c>
      <c r="F13" s="12"/>
      <c r="G13" s="12"/>
      <c r="H13"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13" s="12"/>
      <c r="J13" s="12"/>
      <c r="K13"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13" s="2" t="str">
        <f>IFERROR(IF(T_Fichar345[[#This Row],[Total Descanso]]="",T_Fichar345[Horas Trabajadas],T_Fichar345[[#This Row],[Horas Trabajadas]]-T_Fichar345[[#This Row],[Total Descanso]]),"")</f>
        <v/>
      </c>
    </row>
    <row r="14" spans="1:12" x14ac:dyDescent="0.2">
      <c r="A14">
        <v>4</v>
      </c>
      <c r="B14" s="9">
        <v>44443</v>
      </c>
      <c r="C14" s="6"/>
      <c r="D14" s="6"/>
      <c r="E14" s="6" t="str">
        <f>IF(T_Fichar345[[#This Row],[Día]]="","",UPPER(TEXT(T_Fichar345[[#This Row],[Día]],"MMMM")))</f>
        <v>SEPTIEMBRE</v>
      </c>
      <c r="F14" s="12"/>
      <c r="G14" s="12"/>
      <c r="H14"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14" s="12"/>
      <c r="J14" s="12"/>
      <c r="K14"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14" s="2" t="str">
        <f>IFERROR(IF(T_Fichar345[[#This Row],[Total Descanso]]="",T_Fichar345[Horas Trabajadas],T_Fichar345[[#This Row],[Horas Trabajadas]]-T_Fichar345[[#This Row],[Total Descanso]]),"")</f>
        <v/>
      </c>
    </row>
    <row r="15" spans="1:12" x14ac:dyDescent="0.2">
      <c r="A15">
        <v>5</v>
      </c>
      <c r="B15" s="9">
        <v>44444</v>
      </c>
      <c r="C15" s="6"/>
      <c r="D15" s="6"/>
      <c r="E15" s="6" t="str">
        <f>IF(T_Fichar345[[#This Row],[Día]]="","",UPPER(TEXT(T_Fichar345[[#This Row],[Día]],"MMMM")))</f>
        <v>SEPTIEMBRE</v>
      </c>
      <c r="F15" s="12"/>
      <c r="G15" s="12"/>
      <c r="H15"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15" s="12"/>
      <c r="J15" s="12"/>
      <c r="K15"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15" s="2" t="str">
        <f>IFERROR(IF(T_Fichar345[[#This Row],[Total Descanso]]="",T_Fichar345[Horas Trabajadas],T_Fichar345[[#This Row],[Horas Trabajadas]]-T_Fichar345[[#This Row],[Total Descanso]]),"")</f>
        <v/>
      </c>
    </row>
    <row r="16" spans="1:12" x14ac:dyDescent="0.2">
      <c r="A16">
        <v>6</v>
      </c>
      <c r="B16" s="9">
        <v>44445</v>
      </c>
      <c r="C16" s="6"/>
      <c r="D16" s="6"/>
      <c r="E16" s="6" t="str">
        <f>IF(T_Fichar345[[#This Row],[Día]]="","",UPPER(TEXT(T_Fichar345[[#This Row],[Día]],"MMMM")))</f>
        <v>SEPTIEMBRE</v>
      </c>
      <c r="F16" s="12"/>
      <c r="G16" s="12"/>
      <c r="H16" s="1"/>
      <c r="I16" s="12"/>
      <c r="J16" s="12"/>
      <c r="K16" s="1"/>
      <c r="L16" s="2"/>
    </row>
    <row r="17" spans="1:12" x14ac:dyDescent="0.2">
      <c r="A17">
        <v>7</v>
      </c>
      <c r="B17" s="9">
        <v>44446</v>
      </c>
      <c r="C17" s="6"/>
      <c r="D17" s="6"/>
      <c r="E17" s="6" t="str">
        <f>IF(T_Fichar345[[#This Row],[Día]]="","",UPPER(TEXT(T_Fichar345[[#This Row],[Día]],"MMMM")))</f>
        <v>SEPTIEMBRE</v>
      </c>
      <c r="F17" s="12"/>
      <c r="G17" s="12"/>
      <c r="H17"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17" s="12"/>
      <c r="J17" s="12"/>
      <c r="K17"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17" s="2" t="str">
        <f>IFERROR(IF(T_Fichar345[[#This Row],[Total Descanso]]="",T_Fichar345[Horas Trabajadas],T_Fichar345[[#This Row],[Horas Trabajadas]]-T_Fichar345[[#This Row],[Total Descanso]]),"")</f>
        <v/>
      </c>
    </row>
    <row r="18" spans="1:12" x14ac:dyDescent="0.2">
      <c r="A18">
        <v>8</v>
      </c>
      <c r="B18" s="9">
        <v>44447</v>
      </c>
      <c r="C18" s="6"/>
      <c r="D18" s="6"/>
      <c r="E18" s="6" t="str">
        <f>IF(T_Fichar345[[#This Row],[Día]]="","",UPPER(TEXT(T_Fichar345[[#This Row],[Día]],"MMMM")))</f>
        <v>SEPTIEMBRE</v>
      </c>
      <c r="F18" s="12"/>
      <c r="G18" s="12"/>
      <c r="H18"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18" s="12"/>
      <c r="J18" s="12"/>
      <c r="K18"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18" s="2" t="str">
        <f>IFERROR(IF(T_Fichar345[[#This Row],[Total Descanso]]="",T_Fichar345[Horas Trabajadas],T_Fichar345[[#This Row],[Horas Trabajadas]]-T_Fichar345[[#This Row],[Total Descanso]]),"")</f>
        <v/>
      </c>
    </row>
    <row r="19" spans="1:12" x14ac:dyDescent="0.2">
      <c r="A19">
        <v>9</v>
      </c>
      <c r="B19" s="9">
        <v>44448</v>
      </c>
      <c r="C19" s="6"/>
      <c r="D19" s="6"/>
      <c r="E19" s="6" t="str">
        <f>IF(T_Fichar345[[#This Row],[Día]]="","",UPPER(TEXT(T_Fichar345[[#This Row],[Día]],"MMMM")))</f>
        <v>SEPTIEMBRE</v>
      </c>
      <c r="F19" s="12"/>
      <c r="G19" s="12"/>
      <c r="H19"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19" s="12"/>
      <c r="J19" s="12"/>
      <c r="K19"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19" s="2" t="str">
        <f>IFERROR(IF(T_Fichar345[[#This Row],[Total Descanso]]="",T_Fichar345[Horas Trabajadas],T_Fichar345[[#This Row],[Horas Trabajadas]]-T_Fichar345[[#This Row],[Total Descanso]]),"")</f>
        <v/>
      </c>
    </row>
    <row r="20" spans="1:12" x14ac:dyDescent="0.2">
      <c r="A20">
        <v>10</v>
      </c>
      <c r="B20" s="9">
        <v>44449</v>
      </c>
      <c r="C20" s="6"/>
      <c r="D20" s="6"/>
      <c r="E20" s="6" t="str">
        <f>IF(T_Fichar345[[#This Row],[Día]]="","",UPPER(TEXT(T_Fichar345[[#This Row],[Día]],"MMMM")))</f>
        <v>SEPTIEMBRE</v>
      </c>
      <c r="F20" s="12"/>
      <c r="G20" s="12"/>
      <c r="H20"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0" s="12"/>
      <c r="J20" s="12"/>
      <c r="K20"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0" s="2" t="str">
        <f>IFERROR(IF(T_Fichar345[[#This Row],[Total Descanso]]="",T_Fichar345[Horas Trabajadas],T_Fichar345[[#This Row],[Horas Trabajadas]]-T_Fichar345[[#This Row],[Total Descanso]]),"")</f>
        <v/>
      </c>
    </row>
    <row r="21" spans="1:12" x14ac:dyDescent="0.2">
      <c r="A21">
        <v>11</v>
      </c>
      <c r="B21" s="9">
        <v>44450</v>
      </c>
      <c r="C21" s="6"/>
      <c r="D21" s="6"/>
      <c r="E21" s="6" t="str">
        <f>IF(T_Fichar345[[#This Row],[Día]]="","",UPPER(TEXT(T_Fichar345[[#This Row],[Día]],"MMMM")))</f>
        <v>SEPTIEMBRE</v>
      </c>
      <c r="F21" s="12"/>
      <c r="G21" s="12"/>
      <c r="H21"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1" s="12"/>
      <c r="J21" s="12"/>
      <c r="K21"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1" s="2" t="str">
        <f>IFERROR(IF(T_Fichar345[[#This Row],[Total Descanso]]="",T_Fichar345[Horas Trabajadas],T_Fichar345[[#This Row],[Horas Trabajadas]]-T_Fichar345[[#This Row],[Total Descanso]]),"")</f>
        <v/>
      </c>
    </row>
    <row r="22" spans="1:12" x14ac:dyDescent="0.2">
      <c r="A22">
        <v>12</v>
      </c>
      <c r="B22" s="9">
        <v>44451</v>
      </c>
      <c r="C22" s="6"/>
      <c r="D22" s="6"/>
      <c r="E22" s="6" t="str">
        <f>IF(T_Fichar345[[#This Row],[Día]]="","",UPPER(TEXT(T_Fichar345[[#This Row],[Día]],"MMMM")))</f>
        <v>SEPTIEMBRE</v>
      </c>
      <c r="F22" s="12"/>
      <c r="G22" s="12"/>
      <c r="H22"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2" s="12"/>
      <c r="J22" s="12"/>
      <c r="K22"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2" s="2" t="str">
        <f>IFERROR(IF(T_Fichar345[[#This Row],[Total Descanso]]="",T_Fichar345[Horas Trabajadas],T_Fichar345[[#This Row],[Horas Trabajadas]]-T_Fichar345[[#This Row],[Total Descanso]]),"")</f>
        <v/>
      </c>
    </row>
    <row r="23" spans="1:12" x14ac:dyDescent="0.2">
      <c r="A23">
        <v>13</v>
      </c>
      <c r="B23" s="9">
        <v>44452</v>
      </c>
      <c r="C23" s="6"/>
      <c r="D23" s="6"/>
      <c r="E23" s="6" t="str">
        <f>IF(T_Fichar345[[#This Row],[Día]]="","",UPPER(TEXT(T_Fichar345[[#This Row],[Día]],"MMMM")))</f>
        <v>SEPTIEMBRE</v>
      </c>
      <c r="F23" s="12"/>
      <c r="G23" s="12"/>
      <c r="H23"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3" s="12"/>
      <c r="J23" s="12"/>
      <c r="K23"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3" s="2" t="str">
        <f>IFERROR(IF(T_Fichar345[[#This Row],[Total Descanso]]="",T_Fichar345[Horas Trabajadas],T_Fichar345[[#This Row],[Horas Trabajadas]]-T_Fichar345[[#This Row],[Total Descanso]]),"")</f>
        <v/>
      </c>
    </row>
    <row r="24" spans="1:12" x14ac:dyDescent="0.2">
      <c r="A24">
        <v>14</v>
      </c>
      <c r="B24" s="9">
        <v>44453</v>
      </c>
      <c r="C24" s="6"/>
      <c r="D24" s="6"/>
      <c r="E24" s="6" t="str">
        <f>IF(T_Fichar345[[#This Row],[Día]]="","",UPPER(TEXT(T_Fichar345[[#This Row],[Día]],"MMMM")))</f>
        <v>SEPTIEMBRE</v>
      </c>
      <c r="F24" s="12"/>
      <c r="G24" s="12"/>
      <c r="H24"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4" s="12"/>
      <c r="J24" s="12"/>
      <c r="K24"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4" s="2" t="str">
        <f>IFERROR(IF(T_Fichar345[[#This Row],[Total Descanso]]="",T_Fichar345[Horas Trabajadas],T_Fichar345[[#This Row],[Horas Trabajadas]]-T_Fichar345[[#This Row],[Total Descanso]]),"")</f>
        <v/>
      </c>
    </row>
    <row r="25" spans="1:12" x14ac:dyDescent="0.2">
      <c r="A25">
        <v>15</v>
      </c>
      <c r="B25" s="9">
        <v>44454</v>
      </c>
      <c r="C25" s="6"/>
      <c r="D25" s="6"/>
      <c r="E25" s="6" t="str">
        <f>IF(T_Fichar345[[#This Row],[Día]]="","",UPPER(TEXT(T_Fichar345[[#This Row],[Día]],"MMMM")))</f>
        <v>SEPTIEMBRE</v>
      </c>
      <c r="F25" s="12"/>
      <c r="G25" s="12"/>
      <c r="H25"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5" s="12"/>
      <c r="J25" s="12"/>
      <c r="K25"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5" s="2" t="str">
        <f>IFERROR(IF(T_Fichar345[[#This Row],[Total Descanso]]="",T_Fichar345[Horas Trabajadas],T_Fichar345[[#This Row],[Horas Trabajadas]]-T_Fichar345[[#This Row],[Total Descanso]]),"")</f>
        <v/>
      </c>
    </row>
    <row r="26" spans="1:12" x14ac:dyDescent="0.2">
      <c r="A26">
        <v>16</v>
      </c>
      <c r="B26" s="9">
        <v>44455</v>
      </c>
      <c r="C26" s="6"/>
      <c r="D26" s="6"/>
      <c r="E26" s="6" t="str">
        <f>IF(T_Fichar345[[#This Row],[Día]]="","",UPPER(TEXT(T_Fichar345[[#This Row],[Día]],"MMMM")))</f>
        <v>SEPTIEMBRE</v>
      </c>
      <c r="F26" s="12"/>
      <c r="G26" s="12"/>
      <c r="H26"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6" s="12"/>
      <c r="J26" s="12"/>
      <c r="K26"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6" s="2" t="str">
        <f>IFERROR(IF(T_Fichar345[[#This Row],[Total Descanso]]="",T_Fichar345[Horas Trabajadas],T_Fichar345[[#This Row],[Horas Trabajadas]]-T_Fichar345[[#This Row],[Total Descanso]]),"")</f>
        <v/>
      </c>
    </row>
    <row r="27" spans="1:12" x14ac:dyDescent="0.2">
      <c r="A27">
        <v>17</v>
      </c>
      <c r="B27" s="9">
        <v>44456</v>
      </c>
      <c r="C27" s="6"/>
      <c r="D27" s="6"/>
      <c r="E27" s="6" t="str">
        <f>IF(T_Fichar345[[#This Row],[Día]]="","",UPPER(TEXT(T_Fichar345[[#This Row],[Día]],"MMMM")))</f>
        <v>SEPTIEMBRE</v>
      </c>
      <c r="F27" s="12"/>
      <c r="G27" s="12"/>
      <c r="H27"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7" s="12"/>
      <c r="J27" s="12"/>
      <c r="K27"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7" s="2" t="str">
        <f>IFERROR(IF(T_Fichar345[[#This Row],[Total Descanso]]="",T_Fichar345[Horas Trabajadas],T_Fichar345[[#This Row],[Horas Trabajadas]]-T_Fichar345[[#This Row],[Total Descanso]]),"")</f>
        <v/>
      </c>
    </row>
    <row r="28" spans="1:12" x14ac:dyDescent="0.2">
      <c r="A28">
        <v>18</v>
      </c>
      <c r="B28" s="9">
        <v>44457</v>
      </c>
      <c r="C28" s="6"/>
      <c r="D28" s="6"/>
      <c r="E28" s="6" t="str">
        <f>IF(T_Fichar345[[#This Row],[Día]]="","",UPPER(TEXT(T_Fichar345[[#This Row],[Día]],"MMMM")))</f>
        <v>SEPTIEMBRE</v>
      </c>
      <c r="F28" s="12"/>
      <c r="G28" s="12"/>
      <c r="H28"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8" s="12"/>
      <c r="J28" s="12"/>
      <c r="K28"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8" s="2" t="str">
        <f>IFERROR(IF(T_Fichar345[[#This Row],[Total Descanso]]="",T_Fichar345[Horas Trabajadas],T_Fichar345[[#This Row],[Horas Trabajadas]]-T_Fichar345[[#This Row],[Total Descanso]]),"")</f>
        <v/>
      </c>
    </row>
    <row r="29" spans="1:12" x14ac:dyDescent="0.2">
      <c r="A29">
        <v>19</v>
      </c>
      <c r="B29" s="9">
        <v>44458</v>
      </c>
      <c r="C29" s="6"/>
      <c r="D29" s="6"/>
      <c r="E29" s="6" t="str">
        <f>IF(T_Fichar345[[#This Row],[Día]]="","",UPPER(TEXT(T_Fichar345[[#This Row],[Día]],"MMMM")))</f>
        <v>SEPTIEMBRE</v>
      </c>
      <c r="F29" s="12"/>
      <c r="G29" s="12"/>
      <c r="H29"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29" s="12"/>
      <c r="J29" s="12"/>
      <c r="K29"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29" s="2" t="str">
        <f>IFERROR(IF(T_Fichar345[[#This Row],[Total Descanso]]="",T_Fichar345[Horas Trabajadas],T_Fichar345[[#This Row],[Horas Trabajadas]]-T_Fichar345[[#This Row],[Total Descanso]]),"")</f>
        <v/>
      </c>
    </row>
    <row r="30" spans="1:12" x14ac:dyDescent="0.2">
      <c r="A30">
        <v>20</v>
      </c>
      <c r="B30" s="9">
        <v>44459</v>
      </c>
      <c r="C30" s="6"/>
      <c r="D30" s="6"/>
      <c r="E30" s="6" t="str">
        <f>IF(T_Fichar345[[#This Row],[Día]]="","",UPPER(TEXT(T_Fichar345[[#This Row],[Día]],"MMMM")))</f>
        <v>SEPTIEMBRE</v>
      </c>
      <c r="F30" s="12"/>
      <c r="G30" s="12"/>
      <c r="H30"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0" s="12"/>
      <c r="J30" s="12"/>
      <c r="K30"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0" s="2" t="str">
        <f>IFERROR(IF(T_Fichar345[[#This Row],[Total Descanso]]="",T_Fichar345[Horas Trabajadas],T_Fichar345[[#This Row],[Horas Trabajadas]]-T_Fichar345[[#This Row],[Total Descanso]]),"")</f>
        <v/>
      </c>
    </row>
    <row r="31" spans="1:12" x14ac:dyDescent="0.2">
      <c r="A31">
        <v>21</v>
      </c>
      <c r="B31" s="9">
        <v>44460</v>
      </c>
      <c r="C31" s="6"/>
      <c r="D31" s="6"/>
      <c r="E31" s="6" t="str">
        <f>IF(T_Fichar345[[#This Row],[Día]]="","",UPPER(TEXT(T_Fichar345[[#This Row],[Día]],"MMMM")))</f>
        <v>SEPTIEMBRE</v>
      </c>
      <c r="F31" s="12"/>
      <c r="G31" s="12"/>
      <c r="H31"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1" s="12"/>
      <c r="J31" s="12"/>
      <c r="K31"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1" s="2" t="str">
        <f>IFERROR(IF(T_Fichar345[[#This Row],[Total Descanso]]="",T_Fichar345[Horas Trabajadas],T_Fichar345[[#This Row],[Horas Trabajadas]]-T_Fichar345[[#This Row],[Total Descanso]]),"")</f>
        <v/>
      </c>
    </row>
    <row r="32" spans="1:12" x14ac:dyDescent="0.2">
      <c r="A32">
        <v>22</v>
      </c>
      <c r="B32" s="9">
        <v>44461</v>
      </c>
      <c r="C32" s="6"/>
      <c r="D32" s="6"/>
      <c r="E32" s="6" t="str">
        <f>IF(T_Fichar345[[#This Row],[Día]]="","",UPPER(TEXT(T_Fichar345[[#This Row],[Día]],"MMMM")))</f>
        <v>SEPTIEMBRE</v>
      </c>
      <c r="F32" s="12"/>
      <c r="G32" s="12"/>
      <c r="H32"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2" s="12"/>
      <c r="J32" s="12"/>
      <c r="K32"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2" s="2" t="str">
        <f>IFERROR(IF(T_Fichar345[[#This Row],[Total Descanso]]="",T_Fichar345[Horas Trabajadas],T_Fichar345[[#This Row],[Horas Trabajadas]]-T_Fichar345[[#This Row],[Total Descanso]]),"")</f>
        <v/>
      </c>
    </row>
    <row r="33" spans="1:12" x14ac:dyDescent="0.2">
      <c r="A33">
        <v>23</v>
      </c>
      <c r="B33" s="9">
        <v>44462</v>
      </c>
      <c r="C33" s="6"/>
      <c r="D33" s="6"/>
      <c r="E33" s="6" t="str">
        <f>IF(T_Fichar345[[#This Row],[Día]]="","",UPPER(TEXT(T_Fichar345[[#This Row],[Día]],"MMMM")))</f>
        <v>SEPTIEMBRE</v>
      </c>
      <c r="F33" s="12"/>
      <c r="G33" s="12"/>
      <c r="H33"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3" s="12"/>
      <c r="J33" s="12"/>
      <c r="K33"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3" s="2" t="str">
        <f>IFERROR(IF(T_Fichar345[[#This Row],[Total Descanso]]="",T_Fichar345[Horas Trabajadas],T_Fichar345[[#This Row],[Horas Trabajadas]]-T_Fichar345[[#This Row],[Total Descanso]]),"")</f>
        <v/>
      </c>
    </row>
    <row r="34" spans="1:12" x14ac:dyDescent="0.2">
      <c r="A34">
        <v>24</v>
      </c>
      <c r="B34" s="9">
        <v>44463</v>
      </c>
      <c r="C34" s="6"/>
      <c r="D34" s="6"/>
      <c r="E34" s="6" t="str">
        <f>IF(T_Fichar345[[#This Row],[Día]]="","",UPPER(TEXT(T_Fichar345[[#This Row],[Día]],"MMMM")))</f>
        <v>SEPTIEMBRE</v>
      </c>
      <c r="F34" s="12"/>
      <c r="G34" s="12"/>
      <c r="H34"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4" s="12"/>
      <c r="J34" s="12"/>
      <c r="K34"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4" s="2" t="str">
        <f>IFERROR(IF(T_Fichar345[[#This Row],[Total Descanso]]="",T_Fichar345[Horas Trabajadas],T_Fichar345[[#This Row],[Horas Trabajadas]]-T_Fichar345[[#This Row],[Total Descanso]]),"")</f>
        <v/>
      </c>
    </row>
    <row r="35" spans="1:12" x14ac:dyDescent="0.2">
      <c r="A35">
        <v>25</v>
      </c>
      <c r="B35" s="9">
        <v>44464</v>
      </c>
      <c r="C35" s="6"/>
      <c r="D35" s="6"/>
      <c r="E35" s="6" t="str">
        <f>IF(T_Fichar345[[#This Row],[Día]]="","",UPPER(TEXT(T_Fichar345[[#This Row],[Día]],"MMMM")))</f>
        <v>SEPTIEMBRE</v>
      </c>
      <c r="F35" s="12"/>
      <c r="G35" s="12"/>
      <c r="H35"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5" s="12"/>
      <c r="J35" s="12"/>
      <c r="K35"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5" s="2" t="str">
        <f>IFERROR(IF(T_Fichar345[[#This Row],[Total Descanso]]="",T_Fichar345[Horas Trabajadas],T_Fichar345[[#This Row],[Horas Trabajadas]]-T_Fichar345[[#This Row],[Total Descanso]]),"")</f>
        <v/>
      </c>
    </row>
    <row r="36" spans="1:12" x14ac:dyDescent="0.2">
      <c r="A36">
        <v>26</v>
      </c>
      <c r="B36" s="9">
        <v>44465</v>
      </c>
      <c r="C36" s="6"/>
      <c r="D36" s="6"/>
      <c r="E36" s="6" t="str">
        <f>IF(T_Fichar345[[#This Row],[Día]]="","",UPPER(TEXT(T_Fichar345[[#This Row],[Día]],"MMMM")))</f>
        <v>SEPTIEMBRE</v>
      </c>
      <c r="F36" s="12"/>
      <c r="G36" s="12"/>
      <c r="H36"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6" s="12"/>
      <c r="J36" s="12"/>
      <c r="K36"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6" s="2" t="str">
        <f>IFERROR(IF(T_Fichar345[[#This Row],[Total Descanso]]="",T_Fichar345[Horas Trabajadas],T_Fichar345[[#This Row],[Horas Trabajadas]]-T_Fichar345[[#This Row],[Total Descanso]]),"")</f>
        <v/>
      </c>
    </row>
    <row r="37" spans="1:12" x14ac:dyDescent="0.2">
      <c r="A37">
        <v>27</v>
      </c>
      <c r="B37" s="9">
        <v>44466</v>
      </c>
      <c r="C37" s="6"/>
      <c r="D37" s="6"/>
      <c r="E37" s="6" t="str">
        <f>IF(T_Fichar345[[#This Row],[Día]]="","",UPPER(TEXT(T_Fichar345[[#This Row],[Día]],"MMMM")))</f>
        <v>SEPTIEMBRE</v>
      </c>
      <c r="F37" s="12"/>
      <c r="G37" s="12"/>
      <c r="H37"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7" s="12"/>
      <c r="J37" s="12"/>
      <c r="K37"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7" s="2" t="str">
        <f>IFERROR(IF(T_Fichar345[[#This Row],[Total Descanso]]="",T_Fichar345[Horas Trabajadas],T_Fichar345[[#This Row],[Horas Trabajadas]]-T_Fichar345[[#This Row],[Total Descanso]]),"")</f>
        <v/>
      </c>
    </row>
    <row r="38" spans="1:12" x14ac:dyDescent="0.2">
      <c r="A38">
        <v>28</v>
      </c>
      <c r="B38" s="9">
        <v>44467</v>
      </c>
      <c r="C38" s="6"/>
      <c r="D38" s="6"/>
      <c r="E38" s="6" t="str">
        <f>IF(T_Fichar345[[#This Row],[Día]]="","",UPPER(TEXT(T_Fichar345[[#This Row],[Día]],"MMMM")))</f>
        <v>SEPTIEMBRE</v>
      </c>
      <c r="F38" s="12"/>
      <c r="G38" s="12"/>
      <c r="H38"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8" s="12"/>
      <c r="J38" s="12"/>
      <c r="K38"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8" s="2" t="str">
        <f>IFERROR(IF(T_Fichar345[[#This Row],[Total Descanso]]="",T_Fichar345[Horas Trabajadas],T_Fichar345[[#This Row],[Horas Trabajadas]]-T_Fichar345[[#This Row],[Total Descanso]]),"")</f>
        <v/>
      </c>
    </row>
    <row r="39" spans="1:12" x14ac:dyDescent="0.2">
      <c r="A39">
        <v>29</v>
      </c>
      <c r="B39" s="9">
        <v>44468</v>
      </c>
      <c r="C39" s="6"/>
      <c r="D39" s="6"/>
      <c r="E39" s="6" t="str">
        <f>IF(T_Fichar345[[#This Row],[Día]]="","",UPPER(TEXT(T_Fichar345[[#This Row],[Día]],"MMMM")))</f>
        <v>SEPTIEMBRE</v>
      </c>
      <c r="F39" s="12"/>
      <c r="G39" s="12"/>
      <c r="H39"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39" s="12"/>
      <c r="J39" s="12"/>
      <c r="K39"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39" s="2" t="str">
        <f>IFERROR(IF(T_Fichar345[[#This Row],[Total Descanso]]="",T_Fichar345[Horas Trabajadas],T_Fichar345[[#This Row],[Horas Trabajadas]]-T_Fichar345[[#This Row],[Total Descanso]]),"")</f>
        <v/>
      </c>
    </row>
    <row r="40" spans="1:12" x14ac:dyDescent="0.2">
      <c r="A40">
        <v>30</v>
      </c>
      <c r="B40" s="9">
        <v>44469</v>
      </c>
      <c r="C40" s="6"/>
      <c r="D40" s="6"/>
      <c r="E40" s="6" t="str">
        <f>IF(T_Fichar345[[#This Row],[Día]]="","",UPPER(TEXT(T_Fichar345[[#This Row],[Día]],"MMMM")))</f>
        <v>SEPTIEMBRE</v>
      </c>
      <c r="F40" s="12"/>
      <c r="G40" s="12"/>
      <c r="H40"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40" s="12"/>
      <c r="J40" s="12"/>
      <c r="K40"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40" s="2" t="str">
        <f>IFERROR(IF(T_Fichar345[[#This Row],[Total Descanso]]="",T_Fichar345[Horas Trabajadas],T_Fichar345[[#This Row],[Horas Trabajadas]]-T_Fichar345[[#This Row],[Total Descanso]]),"")</f>
        <v/>
      </c>
    </row>
    <row r="41" spans="1:12" ht="15.75" thickBot="1" x14ac:dyDescent="0.25">
      <c r="A41">
        <v>31</v>
      </c>
      <c r="B41" s="9"/>
      <c r="C41" s="6"/>
      <c r="D41" s="6"/>
      <c r="E41" s="6" t="str">
        <f>IF(T_Fichar345[[#This Row],[Día]]="","",UPPER(TEXT(T_Fichar345[[#This Row],[Día]],"MMMM")))</f>
        <v/>
      </c>
      <c r="F41" s="12"/>
      <c r="G41" s="12"/>
      <c r="H41" s="1" t="str">
        <f>IFERROR(IF(OR(T_Fichar345[[#This Row],[Hora de Salida]]="",T_Fichar345[[#This Row],[Hora de Entrada]]=""),"",IF(T_Fichar345[[#This Row],[Hora de Entrada]]&gt;T_Fichar345[[#This Row],[Hora de Salida]],(1-T_Fichar345[[#This Row],[Hora de Entrada]])+(T_Fichar345[[#This Row],[Hora de Salida]]),T_Fichar345[[#This Row],[Hora de Salida]]-T_Fichar345[[#This Row],[Hora de Entrada]])),"")</f>
        <v/>
      </c>
      <c r="I41" s="12"/>
      <c r="J41" s="12"/>
      <c r="K41" s="1" t="str">
        <f>IFERROR(IF(OR(T_Fichar345[[#This Row],[Salida Descanso]]="",T_Fichar345[[#This Row],[Regreso Descanso]]=""),"",IF(T_Fichar345[[#This Row],[Salida Descanso]]&gt;T_Fichar345[[#This Row],[Regreso Descanso]],(1-T_Fichar345[[#This Row],[Salida Descanso]])+T_Fichar345[[#This Row],[Regreso Descanso]],T_Fichar345[[#This Row],[Regreso Descanso]]-T_Fichar345[[#This Row],[Salida Descanso]])),"")</f>
        <v/>
      </c>
      <c r="L41" s="2" t="str">
        <f>IFERROR(IF(T_Fichar345[[#This Row],[Total Descanso]]="",T_Fichar345[Horas Trabajadas],T_Fichar345[[#This Row],[Horas Trabajadas]]-T_Fichar345[[#This Row],[Total Descanso]]),"")</f>
        <v/>
      </c>
    </row>
    <row r="42" spans="1:12" ht="19.5" thickTop="1" x14ac:dyDescent="0.2">
      <c r="B42" s="14" t="s">
        <v>5</v>
      </c>
      <c r="C42" s="15"/>
      <c r="D42" s="15"/>
      <c r="E42" s="15"/>
      <c r="F42" s="16"/>
      <c r="G42" s="16"/>
      <c r="H42" s="17">
        <f>SUBTOTAL(109,T_Fichar345[Horas Trabajadas])</f>
        <v>0</v>
      </c>
      <c r="I42" s="15"/>
      <c r="J42" s="17"/>
      <c r="K42" s="17">
        <f>SUBTOTAL(109,T_Fichar345[Total Descanso])</f>
        <v>0</v>
      </c>
      <c r="L42" s="18">
        <f>SUBTOTAL(109,T_Fichar345[Total Horas menos Descanso])</f>
        <v>0</v>
      </c>
    </row>
    <row r="53" spans="2:12" x14ac:dyDescent="0.2">
      <c r="B53" s="22" t="s">
        <v>18</v>
      </c>
      <c r="C53" s="22"/>
      <c r="D53" s="22"/>
      <c r="E53" s="22"/>
      <c r="F53" s="22"/>
      <c r="G53" s="22"/>
      <c r="H53" s="21"/>
      <c r="I53" s="22"/>
      <c r="J53" s="22"/>
      <c r="K53" s="23"/>
      <c r="L53" s="23"/>
    </row>
  </sheetData>
  <sheetProtection insertRows="0" deleteRows="0" autoFilter="0" pivotTables="0"/>
  <mergeCells count="1">
    <mergeCell ref="C4:F4"/>
  </mergeCells>
  <phoneticPr fontId="5" alignment="center"/>
  <dataValidations count="2">
    <dataValidation type="date" allowBlank="1" showInputMessage="1" showErrorMessage="1" errorTitle="Error al escribir la fecha" error="Formato DD/MM/AAAA_x000a_" promptTitle="Escribe la fecha de trabajo" prompt="Formato DD/MM/AAAA_x000a_" sqref="B11:D41" xr:uid="{C5421AC2-991C-F242-8ECC-80D8F07A5F41}">
      <formula1>43101</formula1>
      <formula2>55153</formula2>
    </dataValidation>
    <dataValidation type="time" allowBlank="1" showInputMessage="1" showErrorMessage="1" errorTitle="Error en el formato" error="Escribe horas y minutos_x000a_HH:MM" promptTitle="Rellena Horas y Minutos" prompt="Formato HH:MM" sqref="I11:J41 F11:G41" xr:uid="{F0463977-89EB-6443-A9AF-73037C3998C5}">
      <formula1>0</formula1>
      <formula2>0.999305555555556</formula2>
    </dataValidation>
  </dataValidations>
  <pageMargins left="0.7" right="0.7" top="0.75" bottom="0.75" header="0.3" footer="0.3"/>
  <pageSetup paperSize="9" orientation="portrait" horizontalDpi="300" verticalDpi="3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B2470-33B7-AA4C-BCBF-EC46F38107AF}">
  <dimension ref="A4:L53"/>
  <sheetViews>
    <sheetView showGridLines="0" workbookViewId="0">
      <pane ySplit="10" topLeftCell="A30" activePane="bottomLeft" state="frozen"/>
      <selection activeCell="F1" sqref="F1"/>
      <selection pane="bottomLeft" activeCell="I9" sqref="I9"/>
    </sheetView>
  </sheetViews>
  <sheetFormatPr defaultColWidth="10.76171875" defaultRowHeight="15" x14ac:dyDescent="0.2"/>
  <cols>
    <col min="2" max="2" width="12.64453125" style="10" bestFit="1" customWidth="1"/>
    <col min="3" max="3" width="10.76171875" style="4"/>
    <col min="4" max="4" width="11.97265625" style="4" customWidth="1"/>
    <col min="5" max="5" width="10.76171875" style="4"/>
    <col min="6" max="6" width="15.06640625" style="13" customWidth="1"/>
    <col min="7" max="7" width="13.85546875" style="13" customWidth="1"/>
    <col min="8" max="8" width="14.796875" style="3" customWidth="1"/>
    <col min="9" max="10" width="14.796875" style="10" customWidth="1"/>
    <col min="11" max="12" width="14.796875" style="4" customWidth="1"/>
  </cols>
  <sheetData>
    <row r="4" spans="1:12" x14ac:dyDescent="0.2">
      <c r="B4" s="24" t="s">
        <v>17</v>
      </c>
      <c r="C4" s="48" t="s">
        <v>21</v>
      </c>
      <c r="D4" s="48"/>
      <c r="E4" s="48"/>
      <c r="F4" s="48"/>
      <c r="I4" s="3" t="s">
        <v>12</v>
      </c>
    </row>
    <row r="5" spans="1:12" x14ac:dyDescent="0.2">
      <c r="B5" s="24" t="s">
        <v>13</v>
      </c>
      <c r="D5" s="24" t="s">
        <v>22</v>
      </c>
      <c r="H5" s="20" t="s">
        <v>14</v>
      </c>
      <c r="I5" s="19" t="s">
        <v>20</v>
      </c>
    </row>
    <row r="6" spans="1:12" x14ac:dyDescent="0.2">
      <c r="B6" s="24"/>
      <c r="C6" s="24"/>
      <c r="H6" s="20" t="s">
        <v>15</v>
      </c>
      <c r="I6" s="10" t="s">
        <v>19</v>
      </c>
    </row>
    <row r="7" spans="1:12" x14ac:dyDescent="0.2">
      <c r="B7" s="24"/>
      <c r="C7" s="24"/>
      <c r="H7" s="20" t="s">
        <v>23</v>
      </c>
      <c r="I7" s="10">
        <v>700</v>
      </c>
    </row>
    <row r="8" spans="1:12" x14ac:dyDescent="0.2">
      <c r="B8" s="24"/>
      <c r="C8" s="24"/>
      <c r="D8" s="24"/>
      <c r="H8" s="20" t="s">
        <v>16</v>
      </c>
      <c r="I8" s="26">
        <v>44470</v>
      </c>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9">
        <v>44470</v>
      </c>
      <c r="C11" s="6"/>
      <c r="D11" s="25"/>
      <c r="E11" s="6" t="str">
        <f>IF(T_Fichar34[[#This Row],[Día]]="","",UPPER(TEXT(T_Fichar34[[#This Row],[Día]],"MMMM")))</f>
        <v>OCTUBRE</v>
      </c>
      <c r="F11" s="12"/>
      <c r="G11" s="12"/>
      <c r="H11"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11" s="12"/>
      <c r="J11" s="12"/>
      <c r="K11"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11" s="2" t="str">
        <f>IFERROR(IF(T_Fichar34[[#This Row],[Total Descanso]]="",T_Fichar34[Horas Trabajadas],T_Fichar34[[#This Row],[Horas Trabajadas]]-T_Fichar34[[#This Row],[Total Descanso]]),"")</f>
        <v/>
      </c>
    </row>
    <row r="12" spans="1:12" x14ac:dyDescent="0.2">
      <c r="A12">
        <v>2</v>
      </c>
      <c r="B12" s="9">
        <v>44471</v>
      </c>
      <c r="C12" s="6"/>
      <c r="D12" s="6"/>
      <c r="E12" s="6" t="str">
        <f>IF(T_Fichar34[[#This Row],[Día]]="","",UPPER(TEXT(T_Fichar34[[#This Row],[Día]],"MMMM")))</f>
        <v>OCTUBRE</v>
      </c>
      <c r="F12" s="12"/>
      <c r="G12" s="12"/>
      <c r="H12"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12" s="12"/>
      <c r="J12" s="12"/>
      <c r="K12"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12" s="2" t="str">
        <f>IFERROR(IF(T_Fichar34[[#This Row],[Total Descanso]]="",T_Fichar34[Horas Trabajadas],T_Fichar34[[#This Row],[Horas Trabajadas]]-T_Fichar34[[#This Row],[Total Descanso]]),"")</f>
        <v/>
      </c>
    </row>
    <row r="13" spans="1:12" x14ac:dyDescent="0.2">
      <c r="A13">
        <v>3</v>
      </c>
      <c r="B13" s="9">
        <v>44472</v>
      </c>
      <c r="C13" s="6"/>
      <c r="D13" s="6"/>
      <c r="E13" s="6" t="str">
        <f>IF(T_Fichar34[[#This Row],[Día]]="","",UPPER(TEXT(T_Fichar34[[#This Row],[Día]],"MMMM")))</f>
        <v>OCTUBRE</v>
      </c>
      <c r="F13" s="12"/>
      <c r="G13" s="12"/>
      <c r="H13"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13" s="12"/>
      <c r="J13" s="12"/>
      <c r="K13"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13" s="2" t="str">
        <f>IFERROR(IF(T_Fichar34[[#This Row],[Total Descanso]]="",T_Fichar34[Horas Trabajadas],T_Fichar34[[#This Row],[Horas Trabajadas]]-T_Fichar34[[#This Row],[Total Descanso]]),"")</f>
        <v/>
      </c>
    </row>
    <row r="14" spans="1:12" x14ac:dyDescent="0.2">
      <c r="A14">
        <v>4</v>
      </c>
      <c r="B14" s="9">
        <v>44473</v>
      </c>
      <c r="C14" s="6"/>
      <c r="D14" s="6"/>
      <c r="E14" s="6" t="str">
        <f>IF(T_Fichar34[[#This Row],[Día]]="","",UPPER(TEXT(T_Fichar34[[#This Row],[Día]],"MMMM")))</f>
        <v>OCTUBRE</v>
      </c>
      <c r="F14" s="12"/>
      <c r="G14" s="12"/>
      <c r="H14"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14" s="12"/>
      <c r="J14" s="12"/>
      <c r="K14"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14" s="2" t="str">
        <f>IFERROR(IF(T_Fichar34[[#This Row],[Total Descanso]]="",T_Fichar34[Horas Trabajadas],T_Fichar34[[#This Row],[Horas Trabajadas]]-T_Fichar34[[#This Row],[Total Descanso]]),"")</f>
        <v/>
      </c>
    </row>
    <row r="15" spans="1:12" x14ac:dyDescent="0.2">
      <c r="A15">
        <v>5</v>
      </c>
      <c r="B15" s="9">
        <v>44474</v>
      </c>
      <c r="C15" s="6"/>
      <c r="D15" s="6"/>
      <c r="E15" s="6" t="str">
        <f>IF(T_Fichar34[[#This Row],[Día]]="","",UPPER(TEXT(T_Fichar34[[#This Row],[Día]],"MMMM")))</f>
        <v>OCTUBRE</v>
      </c>
      <c r="F15" s="12"/>
      <c r="G15" s="12"/>
      <c r="H15"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15" s="12"/>
      <c r="J15" s="12"/>
      <c r="K15"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15" s="2" t="str">
        <f>IFERROR(IF(T_Fichar34[[#This Row],[Total Descanso]]="",T_Fichar34[Horas Trabajadas],T_Fichar34[[#This Row],[Horas Trabajadas]]-T_Fichar34[[#This Row],[Total Descanso]]),"")</f>
        <v/>
      </c>
    </row>
    <row r="16" spans="1:12" x14ac:dyDescent="0.2">
      <c r="A16">
        <v>6</v>
      </c>
      <c r="B16" s="9">
        <v>44475</v>
      </c>
      <c r="C16" s="6"/>
      <c r="D16" s="6"/>
      <c r="E16" s="6" t="str">
        <f>IF(T_Fichar34[[#This Row],[Día]]="","",UPPER(TEXT(T_Fichar34[[#This Row],[Día]],"MMMM")))</f>
        <v>OCTUBRE</v>
      </c>
      <c r="F16" s="12"/>
      <c r="G16" s="12"/>
      <c r="H16" s="1"/>
      <c r="I16" s="12"/>
      <c r="J16" s="12"/>
      <c r="K16" s="1"/>
      <c r="L16" s="2"/>
    </row>
    <row r="17" spans="1:12" x14ac:dyDescent="0.2">
      <c r="A17">
        <v>7</v>
      </c>
      <c r="B17" s="9">
        <v>44476</v>
      </c>
      <c r="C17" s="6"/>
      <c r="D17" s="6"/>
      <c r="E17" s="6" t="str">
        <f>IF(T_Fichar34[[#This Row],[Día]]="","",UPPER(TEXT(T_Fichar34[[#This Row],[Día]],"MMMM")))</f>
        <v>OCTUBRE</v>
      </c>
      <c r="F17" s="12"/>
      <c r="G17" s="12"/>
      <c r="H17"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17" s="12"/>
      <c r="J17" s="12"/>
      <c r="K17"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17" s="2" t="str">
        <f>IFERROR(IF(T_Fichar34[[#This Row],[Total Descanso]]="",T_Fichar34[Horas Trabajadas],T_Fichar34[[#This Row],[Horas Trabajadas]]-T_Fichar34[[#This Row],[Total Descanso]]),"")</f>
        <v/>
      </c>
    </row>
    <row r="18" spans="1:12" x14ac:dyDescent="0.2">
      <c r="A18">
        <v>8</v>
      </c>
      <c r="B18" s="9">
        <v>44477</v>
      </c>
      <c r="C18" s="6"/>
      <c r="D18" s="6"/>
      <c r="E18" s="6" t="str">
        <f>IF(T_Fichar34[[#This Row],[Día]]="","",UPPER(TEXT(T_Fichar34[[#This Row],[Día]],"MMMM")))</f>
        <v>OCTUBRE</v>
      </c>
      <c r="F18" s="12"/>
      <c r="G18" s="12"/>
      <c r="H18"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18" s="12"/>
      <c r="J18" s="12"/>
      <c r="K18"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18" s="2" t="str">
        <f>IFERROR(IF(T_Fichar34[[#This Row],[Total Descanso]]="",T_Fichar34[Horas Trabajadas],T_Fichar34[[#This Row],[Horas Trabajadas]]-T_Fichar34[[#This Row],[Total Descanso]]),"")</f>
        <v/>
      </c>
    </row>
    <row r="19" spans="1:12" x14ac:dyDescent="0.2">
      <c r="A19">
        <v>9</v>
      </c>
      <c r="B19" s="9">
        <v>44478</v>
      </c>
      <c r="C19" s="6"/>
      <c r="D19" s="6"/>
      <c r="E19" s="6" t="str">
        <f>IF(T_Fichar34[[#This Row],[Día]]="","",UPPER(TEXT(T_Fichar34[[#This Row],[Día]],"MMMM")))</f>
        <v>OCTUBRE</v>
      </c>
      <c r="F19" s="12"/>
      <c r="G19" s="12"/>
      <c r="H19"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19" s="12"/>
      <c r="J19" s="12"/>
      <c r="K19"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19" s="2" t="str">
        <f>IFERROR(IF(T_Fichar34[[#This Row],[Total Descanso]]="",T_Fichar34[Horas Trabajadas],T_Fichar34[[#This Row],[Horas Trabajadas]]-T_Fichar34[[#This Row],[Total Descanso]]),"")</f>
        <v/>
      </c>
    </row>
    <row r="20" spans="1:12" x14ac:dyDescent="0.2">
      <c r="A20">
        <v>10</v>
      </c>
      <c r="B20" s="9">
        <v>44479</v>
      </c>
      <c r="C20" s="6"/>
      <c r="D20" s="6"/>
      <c r="E20" s="6" t="str">
        <f>IF(T_Fichar34[[#This Row],[Día]]="","",UPPER(TEXT(T_Fichar34[[#This Row],[Día]],"MMMM")))</f>
        <v>OCTUBRE</v>
      </c>
      <c r="F20" s="12"/>
      <c r="G20" s="12"/>
      <c r="H20"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0" s="12"/>
      <c r="J20" s="12"/>
      <c r="K20"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0" s="2" t="str">
        <f>IFERROR(IF(T_Fichar34[[#This Row],[Total Descanso]]="",T_Fichar34[Horas Trabajadas],T_Fichar34[[#This Row],[Horas Trabajadas]]-T_Fichar34[[#This Row],[Total Descanso]]),"")</f>
        <v/>
      </c>
    </row>
    <row r="21" spans="1:12" x14ac:dyDescent="0.2">
      <c r="A21">
        <v>11</v>
      </c>
      <c r="B21" s="9">
        <v>44480</v>
      </c>
      <c r="C21" s="6"/>
      <c r="D21" s="6"/>
      <c r="E21" s="6" t="str">
        <f>IF(T_Fichar34[[#This Row],[Día]]="","",UPPER(TEXT(T_Fichar34[[#This Row],[Día]],"MMMM")))</f>
        <v>OCTUBRE</v>
      </c>
      <c r="F21" s="12"/>
      <c r="G21" s="12"/>
      <c r="H21"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1" s="12"/>
      <c r="J21" s="12"/>
      <c r="K21"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1" s="2" t="str">
        <f>IFERROR(IF(T_Fichar34[[#This Row],[Total Descanso]]="",T_Fichar34[Horas Trabajadas],T_Fichar34[[#This Row],[Horas Trabajadas]]-T_Fichar34[[#This Row],[Total Descanso]]),"")</f>
        <v/>
      </c>
    </row>
    <row r="22" spans="1:12" x14ac:dyDescent="0.2">
      <c r="A22">
        <v>12</v>
      </c>
      <c r="B22" s="9">
        <v>44481</v>
      </c>
      <c r="C22" s="6"/>
      <c r="D22" s="6"/>
      <c r="E22" s="6" t="str">
        <f>IF(T_Fichar34[[#This Row],[Día]]="","",UPPER(TEXT(T_Fichar34[[#This Row],[Día]],"MMMM")))</f>
        <v>OCTUBRE</v>
      </c>
      <c r="F22" s="12"/>
      <c r="G22" s="12"/>
      <c r="H22"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2" s="12"/>
      <c r="J22" s="12"/>
      <c r="K22"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2" s="2" t="str">
        <f>IFERROR(IF(T_Fichar34[[#This Row],[Total Descanso]]="",T_Fichar34[Horas Trabajadas],T_Fichar34[[#This Row],[Horas Trabajadas]]-T_Fichar34[[#This Row],[Total Descanso]]),"")</f>
        <v/>
      </c>
    </row>
    <row r="23" spans="1:12" x14ac:dyDescent="0.2">
      <c r="A23">
        <v>13</v>
      </c>
      <c r="B23" s="9">
        <v>44482</v>
      </c>
      <c r="C23" s="6"/>
      <c r="D23" s="6"/>
      <c r="E23" s="6" t="str">
        <f>IF(T_Fichar34[[#This Row],[Día]]="","",UPPER(TEXT(T_Fichar34[[#This Row],[Día]],"MMMM")))</f>
        <v>OCTUBRE</v>
      </c>
      <c r="F23" s="12"/>
      <c r="G23" s="12"/>
      <c r="H23"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3" s="12"/>
      <c r="J23" s="12"/>
      <c r="K23"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3" s="2" t="str">
        <f>IFERROR(IF(T_Fichar34[[#This Row],[Total Descanso]]="",T_Fichar34[Horas Trabajadas],T_Fichar34[[#This Row],[Horas Trabajadas]]-T_Fichar34[[#This Row],[Total Descanso]]),"")</f>
        <v/>
      </c>
    </row>
    <row r="24" spans="1:12" x14ac:dyDescent="0.2">
      <c r="A24">
        <v>14</v>
      </c>
      <c r="B24" s="9">
        <v>44483</v>
      </c>
      <c r="C24" s="6"/>
      <c r="D24" s="6"/>
      <c r="E24" s="6" t="str">
        <f>IF(T_Fichar34[[#This Row],[Día]]="","",UPPER(TEXT(T_Fichar34[[#This Row],[Día]],"MMMM")))</f>
        <v>OCTUBRE</v>
      </c>
      <c r="F24" s="12"/>
      <c r="G24" s="12"/>
      <c r="H24"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4" s="12"/>
      <c r="J24" s="12"/>
      <c r="K24"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4" s="2" t="str">
        <f>IFERROR(IF(T_Fichar34[[#This Row],[Total Descanso]]="",T_Fichar34[Horas Trabajadas],T_Fichar34[[#This Row],[Horas Trabajadas]]-T_Fichar34[[#This Row],[Total Descanso]]),"")</f>
        <v/>
      </c>
    </row>
    <row r="25" spans="1:12" x14ac:dyDescent="0.2">
      <c r="A25">
        <v>15</v>
      </c>
      <c r="B25" s="9">
        <v>44484</v>
      </c>
      <c r="C25" s="6"/>
      <c r="D25" s="6"/>
      <c r="E25" s="6" t="str">
        <f>IF(T_Fichar34[[#This Row],[Día]]="","",UPPER(TEXT(T_Fichar34[[#This Row],[Día]],"MMMM")))</f>
        <v>OCTUBRE</v>
      </c>
      <c r="F25" s="12"/>
      <c r="G25" s="12"/>
      <c r="H25"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5" s="12"/>
      <c r="J25" s="12"/>
      <c r="K25"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5" s="2" t="str">
        <f>IFERROR(IF(T_Fichar34[[#This Row],[Total Descanso]]="",T_Fichar34[Horas Trabajadas],T_Fichar34[[#This Row],[Horas Trabajadas]]-T_Fichar34[[#This Row],[Total Descanso]]),"")</f>
        <v/>
      </c>
    </row>
    <row r="26" spans="1:12" x14ac:dyDescent="0.2">
      <c r="A26">
        <v>16</v>
      </c>
      <c r="B26" s="9">
        <v>44485</v>
      </c>
      <c r="C26" s="6"/>
      <c r="D26" s="6"/>
      <c r="E26" s="6" t="str">
        <f>IF(T_Fichar34[[#This Row],[Día]]="","",UPPER(TEXT(T_Fichar34[[#This Row],[Día]],"MMMM")))</f>
        <v>OCTUBRE</v>
      </c>
      <c r="F26" s="12"/>
      <c r="G26" s="12"/>
      <c r="H26"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6" s="12"/>
      <c r="J26" s="12"/>
      <c r="K26"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6" s="2" t="str">
        <f>IFERROR(IF(T_Fichar34[[#This Row],[Total Descanso]]="",T_Fichar34[Horas Trabajadas],T_Fichar34[[#This Row],[Horas Trabajadas]]-T_Fichar34[[#This Row],[Total Descanso]]),"")</f>
        <v/>
      </c>
    </row>
    <row r="27" spans="1:12" x14ac:dyDescent="0.2">
      <c r="A27">
        <v>17</v>
      </c>
      <c r="B27" s="9">
        <v>44486</v>
      </c>
      <c r="C27" s="6"/>
      <c r="D27" s="6"/>
      <c r="E27" s="6" t="str">
        <f>IF(T_Fichar34[[#This Row],[Día]]="","",UPPER(TEXT(T_Fichar34[[#This Row],[Día]],"MMMM")))</f>
        <v>OCTUBRE</v>
      </c>
      <c r="F27" s="12"/>
      <c r="G27" s="12"/>
      <c r="H27"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7" s="12"/>
      <c r="J27" s="12"/>
      <c r="K27"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7" s="2" t="str">
        <f>IFERROR(IF(T_Fichar34[[#This Row],[Total Descanso]]="",T_Fichar34[Horas Trabajadas],T_Fichar34[[#This Row],[Horas Trabajadas]]-T_Fichar34[[#This Row],[Total Descanso]]),"")</f>
        <v/>
      </c>
    </row>
    <row r="28" spans="1:12" x14ac:dyDescent="0.2">
      <c r="A28">
        <v>18</v>
      </c>
      <c r="B28" s="9">
        <v>44487</v>
      </c>
      <c r="C28" s="6"/>
      <c r="D28" s="6"/>
      <c r="E28" s="6" t="str">
        <f>IF(T_Fichar34[[#This Row],[Día]]="","",UPPER(TEXT(T_Fichar34[[#This Row],[Día]],"MMMM")))</f>
        <v>OCTUBRE</v>
      </c>
      <c r="F28" s="12"/>
      <c r="G28" s="12"/>
      <c r="H28"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8" s="12"/>
      <c r="J28" s="12"/>
      <c r="K28"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8" s="2" t="str">
        <f>IFERROR(IF(T_Fichar34[[#This Row],[Total Descanso]]="",T_Fichar34[Horas Trabajadas],T_Fichar34[[#This Row],[Horas Trabajadas]]-T_Fichar34[[#This Row],[Total Descanso]]),"")</f>
        <v/>
      </c>
    </row>
    <row r="29" spans="1:12" x14ac:dyDescent="0.2">
      <c r="A29">
        <v>19</v>
      </c>
      <c r="B29" s="9">
        <v>44488</v>
      </c>
      <c r="C29" s="6"/>
      <c r="D29" s="6"/>
      <c r="E29" s="6" t="str">
        <f>IF(T_Fichar34[[#This Row],[Día]]="","",UPPER(TEXT(T_Fichar34[[#This Row],[Día]],"MMMM")))</f>
        <v>OCTUBRE</v>
      </c>
      <c r="F29" s="12"/>
      <c r="G29" s="12"/>
      <c r="H29"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29" s="12"/>
      <c r="J29" s="12"/>
      <c r="K29"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29" s="2" t="str">
        <f>IFERROR(IF(T_Fichar34[[#This Row],[Total Descanso]]="",T_Fichar34[Horas Trabajadas],T_Fichar34[[#This Row],[Horas Trabajadas]]-T_Fichar34[[#This Row],[Total Descanso]]),"")</f>
        <v/>
      </c>
    </row>
    <row r="30" spans="1:12" x14ac:dyDescent="0.2">
      <c r="A30">
        <v>20</v>
      </c>
      <c r="B30" s="9">
        <v>44489</v>
      </c>
      <c r="C30" s="6"/>
      <c r="D30" s="6"/>
      <c r="E30" s="6" t="str">
        <f>IF(T_Fichar34[[#This Row],[Día]]="","",UPPER(TEXT(T_Fichar34[[#This Row],[Día]],"MMMM")))</f>
        <v>OCTUBRE</v>
      </c>
      <c r="F30" s="12"/>
      <c r="G30" s="12"/>
      <c r="H30"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0" s="12"/>
      <c r="J30" s="12"/>
      <c r="K30"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0" s="2" t="str">
        <f>IFERROR(IF(T_Fichar34[[#This Row],[Total Descanso]]="",T_Fichar34[Horas Trabajadas],T_Fichar34[[#This Row],[Horas Trabajadas]]-T_Fichar34[[#This Row],[Total Descanso]]),"")</f>
        <v/>
      </c>
    </row>
    <row r="31" spans="1:12" x14ac:dyDescent="0.2">
      <c r="A31">
        <v>21</v>
      </c>
      <c r="B31" s="9">
        <v>44490</v>
      </c>
      <c r="C31" s="6"/>
      <c r="D31" s="6"/>
      <c r="E31" s="6" t="str">
        <f>IF(T_Fichar34[[#This Row],[Día]]="","",UPPER(TEXT(T_Fichar34[[#This Row],[Día]],"MMMM")))</f>
        <v>OCTUBRE</v>
      </c>
      <c r="F31" s="12"/>
      <c r="G31" s="12"/>
      <c r="H31"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1" s="12"/>
      <c r="J31" s="12"/>
      <c r="K31"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1" s="2" t="str">
        <f>IFERROR(IF(T_Fichar34[[#This Row],[Total Descanso]]="",T_Fichar34[Horas Trabajadas],T_Fichar34[[#This Row],[Horas Trabajadas]]-T_Fichar34[[#This Row],[Total Descanso]]),"")</f>
        <v/>
      </c>
    </row>
    <row r="32" spans="1:12" x14ac:dyDescent="0.2">
      <c r="A32">
        <v>22</v>
      </c>
      <c r="B32" s="9">
        <v>44491</v>
      </c>
      <c r="C32" s="6"/>
      <c r="D32" s="6"/>
      <c r="E32" s="6" t="str">
        <f>IF(T_Fichar34[[#This Row],[Día]]="","",UPPER(TEXT(T_Fichar34[[#This Row],[Día]],"MMMM")))</f>
        <v>OCTUBRE</v>
      </c>
      <c r="F32" s="12"/>
      <c r="G32" s="12"/>
      <c r="H32"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2" s="12"/>
      <c r="J32" s="12"/>
      <c r="K32"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2" s="2" t="str">
        <f>IFERROR(IF(T_Fichar34[[#This Row],[Total Descanso]]="",T_Fichar34[Horas Trabajadas],T_Fichar34[[#This Row],[Horas Trabajadas]]-T_Fichar34[[#This Row],[Total Descanso]]),"")</f>
        <v/>
      </c>
    </row>
    <row r="33" spans="1:12" x14ac:dyDescent="0.2">
      <c r="A33">
        <v>23</v>
      </c>
      <c r="B33" s="9">
        <v>44492</v>
      </c>
      <c r="C33" s="6"/>
      <c r="D33" s="6"/>
      <c r="E33" s="6" t="str">
        <f>IF(T_Fichar34[[#This Row],[Día]]="","",UPPER(TEXT(T_Fichar34[[#This Row],[Día]],"MMMM")))</f>
        <v>OCTUBRE</v>
      </c>
      <c r="F33" s="12"/>
      <c r="G33" s="12"/>
      <c r="H33"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3" s="12"/>
      <c r="J33" s="12"/>
      <c r="K33"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3" s="2" t="str">
        <f>IFERROR(IF(T_Fichar34[[#This Row],[Total Descanso]]="",T_Fichar34[Horas Trabajadas],T_Fichar34[[#This Row],[Horas Trabajadas]]-T_Fichar34[[#This Row],[Total Descanso]]),"")</f>
        <v/>
      </c>
    </row>
    <row r="34" spans="1:12" x14ac:dyDescent="0.2">
      <c r="A34">
        <v>24</v>
      </c>
      <c r="B34" s="9">
        <v>44493</v>
      </c>
      <c r="C34" s="6"/>
      <c r="D34" s="6"/>
      <c r="E34" s="6" t="str">
        <f>IF(T_Fichar34[[#This Row],[Día]]="","",UPPER(TEXT(T_Fichar34[[#This Row],[Día]],"MMMM")))</f>
        <v>OCTUBRE</v>
      </c>
      <c r="F34" s="12"/>
      <c r="G34" s="12"/>
      <c r="H34"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4" s="12"/>
      <c r="J34" s="12"/>
      <c r="K34"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4" s="2" t="str">
        <f>IFERROR(IF(T_Fichar34[[#This Row],[Total Descanso]]="",T_Fichar34[Horas Trabajadas],T_Fichar34[[#This Row],[Horas Trabajadas]]-T_Fichar34[[#This Row],[Total Descanso]]),"")</f>
        <v/>
      </c>
    </row>
    <row r="35" spans="1:12" x14ac:dyDescent="0.2">
      <c r="A35">
        <v>25</v>
      </c>
      <c r="B35" s="9">
        <v>44494</v>
      </c>
      <c r="C35" s="6"/>
      <c r="D35" s="6"/>
      <c r="E35" s="6" t="str">
        <f>IF(T_Fichar34[[#This Row],[Día]]="","",UPPER(TEXT(T_Fichar34[[#This Row],[Día]],"MMMM")))</f>
        <v>OCTUBRE</v>
      </c>
      <c r="F35" s="12"/>
      <c r="G35" s="12"/>
      <c r="H35"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5" s="12"/>
      <c r="J35" s="12"/>
      <c r="K35"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5" s="2" t="str">
        <f>IFERROR(IF(T_Fichar34[[#This Row],[Total Descanso]]="",T_Fichar34[Horas Trabajadas],T_Fichar34[[#This Row],[Horas Trabajadas]]-T_Fichar34[[#This Row],[Total Descanso]]),"")</f>
        <v/>
      </c>
    </row>
    <row r="36" spans="1:12" x14ac:dyDescent="0.2">
      <c r="A36">
        <v>26</v>
      </c>
      <c r="B36" s="9">
        <v>44495</v>
      </c>
      <c r="C36" s="6"/>
      <c r="D36" s="6"/>
      <c r="E36" s="6" t="str">
        <f>IF(T_Fichar34[[#This Row],[Día]]="","",UPPER(TEXT(T_Fichar34[[#This Row],[Día]],"MMMM")))</f>
        <v>OCTUBRE</v>
      </c>
      <c r="F36" s="12"/>
      <c r="G36" s="12"/>
      <c r="H36"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6" s="12"/>
      <c r="J36" s="12"/>
      <c r="K36"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6" s="2" t="str">
        <f>IFERROR(IF(T_Fichar34[[#This Row],[Total Descanso]]="",T_Fichar34[Horas Trabajadas],T_Fichar34[[#This Row],[Horas Trabajadas]]-T_Fichar34[[#This Row],[Total Descanso]]),"")</f>
        <v/>
      </c>
    </row>
    <row r="37" spans="1:12" x14ac:dyDescent="0.2">
      <c r="A37">
        <v>27</v>
      </c>
      <c r="B37" s="9">
        <v>44496</v>
      </c>
      <c r="C37" s="6"/>
      <c r="D37" s="6"/>
      <c r="E37" s="6" t="str">
        <f>IF(T_Fichar34[[#This Row],[Día]]="","",UPPER(TEXT(T_Fichar34[[#This Row],[Día]],"MMMM")))</f>
        <v>OCTUBRE</v>
      </c>
      <c r="F37" s="12"/>
      <c r="G37" s="12"/>
      <c r="H37"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7" s="12"/>
      <c r="J37" s="12"/>
      <c r="K37"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7" s="2" t="str">
        <f>IFERROR(IF(T_Fichar34[[#This Row],[Total Descanso]]="",T_Fichar34[Horas Trabajadas],T_Fichar34[[#This Row],[Horas Trabajadas]]-T_Fichar34[[#This Row],[Total Descanso]]),"")</f>
        <v/>
      </c>
    </row>
    <row r="38" spans="1:12" x14ac:dyDescent="0.2">
      <c r="A38">
        <v>28</v>
      </c>
      <c r="B38" s="9">
        <v>44497</v>
      </c>
      <c r="C38" s="6"/>
      <c r="D38" s="6"/>
      <c r="E38" s="6" t="str">
        <f>IF(T_Fichar34[[#This Row],[Día]]="","",UPPER(TEXT(T_Fichar34[[#This Row],[Día]],"MMMM")))</f>
        <v>OCTUBRE</v>
      </c>
      <c r="F38" s="12"/>
      <c r="G38" s="12"/>
      <c r="H38"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8" s="12"/>
      <c r="J38" s="12"/>
      <c r="K38"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8" s="2" t="str">
        <f>IFERROR(IF(T_Fichar34[[#This Row],[Total Descanso]]="",T_Fichar34[Horas Trabajadas],T_Fichar34[[#This Row],[Horas Trabajadas]]-T_Fichar34[[#This Row],[Total Descanso]]),"")</f>
        <v/>
      </c>
    </row>
    <row r="39" spans="1:12" x14ac:dyDescent="0.2">
      <c r="A39">
        <v>29</v>
      </c>
      <c r="B39" s="9">
        <v>44498</v>
      </c>
      <c r="C39" s="6"/>
      <c r="D39" s="6"/>
      <c r="E39" s="6" t="str">
        <f>IF(T_Fichar34[[#This Row],[Día]]="","",UPPER(TEXT(T_Fichar34[[#This Row],[Día]],"MMMM")))</f>
        <v>OCTUBRE</v>
      </c>
      <c r="F39" s="12"/>
      <c r="G39" s="12"/>
      <c r="H39"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39" s="12"/>
      <c r="J39" s="12"/>
      <c r="K39"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39" s="2" t="str">
        <f>IFERROR(IF(T_Fichar34[[#This Row],[Total Descanso]]="",T_Fichar34[Horas Trabajadas],T_Fichar34[[#This Row],[Horas Trabajadas]]-T_Fichar34[[#This Row],[Total Descanso]]),"")</f>
        <v/>
      </c>
    </row>
    <row r="40" spans="1:12" x14ac:dyDescent="0.2">
      <c r="A40">
        <v>30</v>
      </c>
      <c r="B40" s="9">
        <v>44499</v>
      </c>
      <c r="C40" s="6"/>
      <c r="D40" s="6"/>
      <c r="E40" s="6" t="str">
        <f>IF(T_Fichar34[[#This Row],[Día]]="","",UPPER(TEXT(T_Fichar34[[#This Row],[Día]],"MMMM")))</f>
        <v>OCTUBRE</v>
      </c>
      <c r="F40" s="12"/>
      <c r="G40" s="12"/>
      <c r="H40"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40" s="12"/>
      <c r="J40" s="12"/>
      <c r="K40"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40" s="2" t="str">
        <f>IFERROR(IF(T_Fichar34[[#This Row],[Total Descanso]]="",T_Fichar34[Horas Trabajadas],T_Fichar34[[#This Row],[Horas Trabajadas]]-T_Fichar34[[#This Row],[Total Descanso]]),"")</f>
        <v/>
      </c>
    </row>
    <row r="41" spans="1:12" ht="15.75" thickBot="1" x14ac:dyDescent="0.25">
      <c r="A41">
        <v>31</v>
      </c>
      <c r="B41" s="9">
        <v>44500</v>
      </c>
      <c r="C41" s="6"/>
      <c r="D41" s="6"/>
      <c r="E41" s="6" t="str">
        <f>IF(T_Fichar34[[#This Row],[Día]]="","",UPPER(TEXT(T_Fichar34[[#This Row],[Día]],"MMMM")))</f>
        <v>OCTUBRE</v>
      </c>
      <c r="F41" s="12"/>
      <c r="G41" s="12"/>
      <c r="H41" s="1" t="str">
        <f>IFERROR(IF(OR(T_Fichar34[[#This Row],[Hora de Salida]]="",T_Fichar34[[#This Row],[Hora de Entrada]]=""),"",IF(T_Fichar34[[#This Row],[Hora de Entrada]]&gt;T_Fichar34[[#This Row],[Hora de Salida]],(1-T_Fichar34[[#This Row],[Hora de Entrada]])+(T_Fichar34[[#This Row],[Hora de Salida]]),T_Fichar34[[#This Row],[Hora de Salida]]-T_Fichar34[[#This Row],[Hora de Entrada]])),"")</f>
        <v/>
      </c>
      <c r="I41" s="12"/>
      <c r="J41" s="12"/>
      <c r="K41" s="1" t="str">
        <f>IFERROR(IF(OR(T_Fichar34[[#This Row],[Salida Descanso]]="",T_Fichar34[[#This Row],[Regreso Descanso]]=""),"",IF(T_Fichar34[[#This Row],[Salida Descanso]]&gt;T_Fichar34[[#This Row],[Regreso Descanso]],(1-T_Fichar34[[#This Row],[Salida Descanso]])+T_Fichar34[[#This Row],[Regreso Descanso]],T_Fichar34[[#This Row],[Regreso Descanso]]-T_Fichar34[[#This Row],[Salida Descanso]])),"")</f>
        <v/>
      </c>
      <c r="L41" s="2" t="str">
        <f>IFERROR(IF(T_Fichar34[[#This Row],[Total Descanso]]="",T_Fichar34[Horas Trabajadas],T_Fichar34[[#This Row],[Horas Trabajadas]]-T_Fichar34[[#This Row],[Total Descanso]]),"")</f>
        <v/>
      </c>
    </row>
    <row r="42" spans="1:12" ht="19.5" thickTop="1" x14ac:dyDescent="0.2">
      <c r="B42" s="14" t="s">
        <v>5</v>
      </c>
      <c r="C42" s="15"/>
      <c r="D42" s="15"/>
      <c r="E42" s="15"/>
      <c r="F42" s="16"/>
      <c r="G42" s="16"/>
      <c r="H42" s="17">
        <f>SUBTOTAL(109,T_Fichar34[Horas Trabajadas])</f>
        <v>0</v>
      </c>
      <c r="I42" s="15"/>
      <c r="J42" s="17"/>
      <c r="K42" s="17">
        <f>SUBTOTAL(109,T_Fichar34[Total Descanso])</f>
        <v>0</v>
      </c>
      <c r="L42" s="18">
        <f>SUBTOTAL(109,T_Fichar34[Total Horas menos Descanso])</f>
        <v>0</v>
      </c>
    </row>
    <row r="53" spans="2:12" x14ac:dyDescent="0.2">
      <c r="B53" s="22" t="s">
        <v>18</v>
      </c>
      <c r="C53" s="22"/>
      <c r="D53" s="22"/>
      <c r="E53" s="22"/>
      <c r="F53" s="22"/>
      <c r="G53" s="22"/>
      <c r="H53" s="21"/>
      <c r="I53" s="22"/>
      <c r="J53" s="22"/>
      <c r="K53" s="23"/>
      <c r="L53" s="23"/>
    </row>
  </sheetData>
  <sheetProtection insertRows="0" deleteRows="0" autoFilter="0" pivotTables="0"/>
  <mergeCells count="1">
    <mergeCell ref="C4:F4"/>
  </mergeCells>
  <phoneticPr fontId="5" alignment="center"/>
  <dataValidations count="2">
    <dataValidation type="time" allowBlank="1" showInputMessage="1" showErrorMessage="1" errorTitle="Error en el formato" error="Escribe horas y minutos_x000a_HH:MM" promptTitle="Rellena Horas y Minutos" prompt="Formato HH:MM" sqref="I11:J41 F11:G41" xr:uid="{F4D7AFE4-E772-B343-9B28-066246C02CF2}">
      <formula1>0</formula1>
      <formula2>0.999305555555556</formula2>
    </dataValidation>
    <dataValidation type="date" allowBlank="1" showInputMessage="1" showErrorMessage="1" errorTitle="Error al escribir la fecha" error="Formato DD/MM/AAAA_x000a_" promptTitle="Escribe la fecha de trabajo" prompt="Formato DD/MM/AAAA_x000a_" sqref="B11:D41" xr:uid="{C83C9285-5687-E24F-8515-B644CFF53BD0}">
      <formula1>43101</formula1>
      <formula2>55153</formula2>
    </dataValidation>
  </dataValidations>
  <pageMargins left="0.7" right="0.7" top="0.75" bottom="0.75" header="0.3" footer="0.3"/>
  <pageSetup paperSize="9" orientation="portrait" horizontalDpi="300" verticalDpi="3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71B60-13E3-3C49-BCF5-1B3EF87DA562}">
  <dimension ref="A4:L53"/>
  <sheetViews>
    <sheetView showGridLines="0" workbookViewId="0">
      <pane ySplit="10" topLeftCell="A21" activePane="bottomLeft" state="frozen"/>
      <selection activeCell="F1" sqref="F1"/>
      <selection pane="bottomLeft" activeCell="B33" sqref="B33"/>
    </sheetView>
  </sheetViews>
  <sheetFormatPr defaultColWidth="10.76171875" defaultRowHeight="15" x14ac:dyDescent="0.2"/>
  <cols>
    <col min="2" max="2" width="12.64453125" style="10" bestFit="1" customWidth="1"/>
    <col min="3" max="3" width="10.76171875" style="4"/>
    <col min="4" max="4" width="11.97265625" style="4" customWidth="1"/>
    <col min="5" max="5" width="10.76171875" style="4"/>
    <col min="6" max="6" width="15.06640625" style="13" customWidth="1"/>
    <col min="7" max="7" width="13.85546875" style="13" customWidth="1"/>
    <col min="8" max="8" width="14.796875" style="3" customWidth="1"/>
    <col min="9" max="10" width="14.796875" style="10" customWidth="1"/>
    <col min="11" max="12" width="14.796875" style="4" customWidth="1"/>
  </cols>
  <sheetData>
    <row r="4" spans="1:12" x14ac:dyDescent="0.2">
      <c r="B4" s="24" t="s">
        <v>17</v>
      </c>
      <c r="C4" s="48" t="s">
        <v>21</v>
      </c>
      <c r="D4" s="48"/>
      <c r="E4" s="48"/>
      <c r="F4" s="48"/>
      <c r="I4" s="3" t="s">
        <v>12</v>
      </c>
    </row>
    <row r="5" spans="1:12" x14ac:dyDescent="0.2">
      <c r="B5" s="24" t="s">
        <v>13</v>
      </c>
      <c r="D5" s="24" t="s">
        <v>22</v>
      </c>
      <c r="H5" s="20" t="s">
        <v>14</v>
      </c>
      <c r="I5" s="19" t="s">
        <v>20</v>
      </c>
    </row>
    <row r="6" spans="1:12" x14ac:dyDescent="0.2">
      <c r="B6" s="24"/>
      <c r="C6" s="24"/>
      <c r="H6" s="20" t="s">
        <v>15</v>
      </c>
      <c r="I6" s="10" t="s">
        <v>19</v>
      </c>
    </row>
    <row r="7" spans="1:12" x14ac:dyDescent="0.2">
      <c r="B7" s="24"/>
      <c r="C7" s="24"/>
      <c r="H7" s="20" t="s">
        <v>23</v>
      </c>
      <c r="I7" s="10">
        <v>700</v>
      </c>
    </row>
    <row r="8" spans="1:12" x14ac:dyDescent="0.2">
      <c r="B8" s="24"/>
      <c r="C8" s="24"/>
      <c r="D8" s="24"/>
      <c r="H8" s="20" t="s">
        <v>16</v>
      </c>
      <c r="I8" s="26">
        <v>44256</v>
      </c>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9">
        <v>44256</v>
      </c>
      <c r="C11" s="6"/>
      <c r="D11" s="25"/>
      <c r="E11" s="6" t="str">
        <f>IF(T_Fichar3[[#This Row],[Día]]="","",UPPER(TEXT(T_Fichar3[[#This Row],[Día]],"MMMM")))</f>
        <v>MARZO</v>
      </c>
      <c r="F11" s="12"/>
      <c r="G11" s="12"/>
      <c r="H11"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11" s="12"/>
      <c r="J11" s="12"/>
      <c r="K11"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11" s="2" t="str">
        <f>IFERROR(IF(T_Fichar3[[#This Row],[Total Descanso]]="",T_Fichar3[Horas Trabajadas],T_Fichar3[[#This Row],[Horas Trabajadas]]-T_Fichar3[[#This Row],[Total Descanso]]),"")</f>
        <v/>
      </c>
    </row>
    <row r="12" spans="1:12" x14ac:dyDescent="0.2">
      <c r="A12">
        <v>2</v>
      </c>
      <c r="B12" s="9">
        <v>44502</v>
      </c>
      <c r="C12" s="6"/>
      <c r="D12" s="6"/>
      <c r="E12" s="6" t="str">
        <f>IF(T_Fichar3[[#This Row],[Día]]="","",UPPER(TEXT(T_Fichar3[[#This Row],[Día]],"MMMM")))</f>
        <v>NOVIEMBRE</v>
      </c>
      <c r="F12" s="12"/>
      <c r="G12" s="12"/>
      <c r="H12"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12" s="12"/>
      <c r="J12" s="12"/>
      <c r="K12"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12" s="2" t="str">
        <f>IFERROR(IF(T_Fichar3[[#This Row],[Total Descanso]]="",T_Fichar3[Horas Trabajadas],T_Fichar3[[#This Row],[Horas Trabajadas]]-T_Fichar3[[#This Row],[Total Descanso]]),"")</f>
        <v/>
      </c>
    </row>
    <row r="13" spans="1:12" x14ac:dyDescent="0.2">
      <c r="A13">
        <v>3</v>
      </c>
      <c r="B13" s="9">
        <v>44503</v>
      </c>
      <c r="C13" s="6"/>
      <c r="D13" s="6"/>
      <c r="E13" s="6" t="str">
        <f>IF(T_Fichar3[[#This Row],[Día]]="","",UPPER(TEXT(T_Fichar3[[#This Row],[Día]],"MMMM")))</f>
        <v>NOVIEMBRE</v>
      </c>
      <c r="F13" s="12"/>
      <c r="G13" s="12"/>
      <c r="H13"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13" s="12"/>
      <c r="J13" s="12"/>
      <c r="K13"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13" s="2" t="str">
        <f>IFERROR(IF(T_Fichar3[[#This Row],[Total Descanso]]="",T_Fichar3[Horas Trabajadas],T_Fichar3[[#This Row],[Horas Trabajadas]]-T_Fichar3[[#This Row],[Total Descanso]]),"")</f>
        <v/>
      </c>
    </row>
    <row r="14" spans="1:12" x14ac:dyDescent="0.2">
      <c r="A14">
        <v>4</v>
      </c>
      <c r="B14" s="9">
        <v>44504</v>
      </c>
      <c r="C14" s="6"/>
      <c r="D14" s="6"/>
      <c r="E14" s="6" t="str">
        <f>IF(T_Fichar3[[#This Row],[Día]]="","",UPPER(TEXT(T_Fichar3[[#This Row],[Día]],"MMMM")))</f>
        <v>NOVIEMBRE</v>
      </c>
      <c r="F14" s="12"/>
      <c r="G14" s="12"/>
      <c r="H14"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14" s="12"/>
      <c r="J14" s="12"/>
      <c r="K14"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14" s="2" t="str">
        <f>IFERROR(IF(T_Fichar3[[#This Row],[Total Descanso]]="",T_Fichar3[Horas Trabajadas],T_Fichar3[[#This Row],[Horas Trabajadas]]-T_Fichar3[[#This Row],[Total Descanso]]),"")</f>
        <v/>
      </c>
    </row>
    <row r="15" spans="1:12" x14ac:dyDescent="0.2">
      <c r="A15">
        <v>5</v>
      </c>
      <c r="B15" s="9">
        <v>44505</v>
      </c>
      <c r="C15" s="6"/>
      <c r="D15" s="6"/>
      <c r="E15" s="6" t="str">
        <f>IF(T_Fichar3[[#This Row],[Día]]="","",UPPER(TEXT(T_Fichar3[[#This Row],[Día]],"MMMM")))</f>
        <v>NOVIEMBRE</v>
      </c>
      <c r="F15" s="12"/>
      <c r="G15" s="12"/>
      <c r="H15"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15" s="12"/>
      <c r="J15" s="12"/>
      <c r="K15"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15" s="2" t="str">
        <f>IFERROR(IF(T_Fichar3[[#This Row],[Total Descanso]]="",T_Fichar3[Horas Trabajadas],T_Fichar3[[#This Row],[Horas Trabajadas]]-T_Fichar3[[#This Row],[Total Descanso]]),"")</f>
        <v/>
      </c>
    </row>
    <row r="16" spans="1:12" x14ac:dyDescent="0.2">
      <c r="A16">
        <v>6</v>
      </c>
      <c r="B16" s="9">
        <v>44506</v>
      </c>
      <c r="C16" s="6"/>
      <c r="D16" s="6"/>
      <c r="E16" s="6" t="str">
        <f>IF(T_Fichar3[[#This Row],[Día]]="","",UPPER(TEXT(T_Fichar3[[#This Row],[Día]],"MMMM")))</f>
        <v>NOVIEMBRE</v>
      </c>
      <c r="F16" s="12"/>
      <c r="G16" s="12"/>
      <c r="H16" s="1"/>
      <c r="I16" s="12"/>
      <c r="J16" s="12"/>
      <c r="K16" s="1"/>
      <c r="L16" s="2"/>
    </row>
    <row r="17" spans="1:12" x14ac:dyDescent="0.2">
      <c r="A17">
        <v>7</v>
      </c>
      <c r="B17" s="9">
        <v>44507</v>
      </c>
      <c r="C17" s="6"/>
      <c r="D17" s="6"/>
      <c r="E17" s="6" t="str">
        <f>IF(T_Fichar3[[#This Row],[Día]]="","",UPPER(TEXT(T_Fichar3[[#This Row],[Día]],"MMMM")))</f>
        <v>NOVIEMBRE</v>
      </c>
      <c r="F17" s="12"/>
      <c r="G17" s="12"/>
      <c r="H17"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17" s="12"/>
      <c r="J17" s="12"/>
      <c r="K17"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17" s="2" t="str">
        <f>IFERROR(IF(T_Fichar3[[#This Row],[Total Descanso]]="",T_Fichar3[Horas Trabajadas],T_Fichar3[[#This Row],[Horas Trabajadas]]-T_Fichar3[[#This Row],[Total Descanso]]),"")</f>
        <v/>
      </c>
    </row>
    <row r="18" spans="1:12" x14ac:dyDescent="0.2">
      <c r="A18">
        <v>8</v>
      </c>
      <c r="B18" s="9">
        <v>44508</v>
      </c>
      <c r="C18" s="6"/>
      <c r="D18" s="6"/>
      <c r="E18" s="6" t="str">
        <f>IF(T_Fichar3[[#This Row],[Día]]="","",UPPER(TEXT(T_Fichar3[[#This Row],[Día]],"MMMM")))</f>
        <v>NOVIEMBRE</v>
      </c>
      <c r="F18" s="12"/>
      <c r="G18" s="12"/>
      <c r="H18"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18" s="12"/>
      <c r="J18" s="12"/>
      <c r="K18"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18" s="2" t="str">
        <f>IFERROR(IF(T_Fichar3[[#This Row],[Total Descanso]]="",T_Fichar3[Horas Trabajadas],T_Fichar3[[#This Row],[Horas Trabajadas]]-T_Fichar3[[#This Row],[Total Descanso]]),"")</f>
        <v/>
      </c>
    </row>
    <row r="19" spans="1:12" x14ac:dyDescent="0.2">
      <c r="A19">
        <v>9</v>
      </c>
      <c r="B19" s="9">
        <v>44509</v>
      </c>
      <c r="C19" s="6"/>
      <c r="D19" s="6"/>
      <c r="E19" s="6" t="str">
        <f>IF(T_Fichar3[[#This Row],[Día]]="","",UPPER(TEXT(T_Fichar3[[#This Row],[Día]],"MMMM")))</f>
        <v>NOVIEMBRE</v>
      </c>
      <c r="F19" s="12"/>
      <c r="G19" s="12"/>
      <c r="H19"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19" s="12"/>
      <c r="J19" s="12"/>
      <c r="K19"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19" s="2" t="str">
        <f>IFERROR(IF(T_Fichar3[[#This Row],[Total Descanso]]="",T_Fichar3[Horas Trabajadas],T_Fichar3[[#This Row],[Horas Trabajadas]]-T_Fichar3[[#This Row],[Total Descanso]]),"")</f>
        <v/>
      </c>
    </row>
    <row r="20" spans="1:12" x14ac:dyDescent="0.2">
      <c r="A20">
        <v>10</v>
      </c>
      <c r="B20" s="9">
        <v>44510</v>
      </c>
      <c r="C20" s="6"/>
      <c r="D20" s="6"/>
      <c r="E20" s="6" t="str">
        <f>IF(T_Fichar3[[#This Row],[Día]]="","",UPPER(TEXT(T_Fichar3[[#This Row],[Día]],"MMMM")))</f>
        <v>NOVIEMBRE</v>
      </c>
      <c r="F20" s="12"/>
      <c r="G20" s="12"/>
      <c r="H20"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0" s="12"/>
      <c r="J20" s="12"/>
      <c r="K20"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0" s="2" t="str">
        <f>IFERROR(IF(T_Fichar3[[#This Row],[Total Descanso]]="",T_Fichar3[Horas Trabajadas],T_Fichar3[[#This Row],[Horas Trabajadas]]-T_Fichar3[[#This Row],[Total Descanso]]),"")</f>
        <v/>
      </c>
    </row>
    <row r="21" spans="1:12" x14ac:dyDescent="0.2">
      <c r="A21">
        <v>11</v>
      </c>
      <c r="B21" s="9">
        <v>44511</v>
      </c>
      <c r="C21" s="6"/>
      <c r="D21" s="6"/>
      <c r="E21" s="6" t="str">
        <f>IF(T_Fichar3[[#This Row],[Día]]="","",UPPER(TEXT(T_Fichar3[[#This Row],[Día]],"MMMM")))</f>
        <v>NOVIEMBRE</v>
      </c>
      <c r="F21" s="12"/>
      <c r="G21" s="12"/>
      <c r="H21"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1" s="12"/>
      <c r="J21" s="12"/>
      <c r="K21"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1" s="2" t="str">
        <f>IFERROR(IF(T_Fichar3[[#This Row],[Total Descanso]]="",T_Fichar3[Horas Trabajadas],T_Fichar3[[#This Row],[Horas Trabajadas]]-T_Fichar3[[#This Row],[Total Descanso]]),"")</f>
        <v/>
      </c>
    </row>
    <row r="22" spans="1:12" x14ac:dyDescent="0.2">
      <c r="A22">
        <v>12</v>
      </c>
      <c r="B22" s="9">
        <v>44512</v>
      </c>
      <c r="C22" s="6"/>
      <c r="D22" s="6"/>
      <c r="E22" s="6" t="str">
        <f>IF(T_Fichar3[[#This Row],[Día]]="","",UPPER(TEXT(T_Fichar3[[#This Row],[Día]],"MMMM")))</f>
        <v>NOVIEMBRE</v>
      </c>
      <c r="F22" s="12"/>
      <c r="G22" s="12"/>
      <c r="H22"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2" s="12"/>
      <c r="J22" s="12"/>
      <c r="K22"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2" s="2" t="str">
        <f>IFERROR(IF(T_Fichar3[[#This Row],[Total Descanso]]="",T_Fichar3[Horas Trabajadas],T_Fichar3[[#This Row],[Horas Trabajadas]]-T_Fichar3[[#This Row],[Total Descanso]]),"")</f>
        <v/>
      </c>
    </row>
    <row r="23" spans="1:12" x14ac:dyDescent="0.2">
      <c r="A23">
        <v>13</v>
      </c>
      <c r="B23" s="9">
        <v>44513</v>
      </c>
      <c r="C23" s="6"/>
      <c r="D23" s="6"/>
      <c r="E23" s="6" t="str">
        <f>IF(T_Fichar3[[#This Row],[Día]]="","",UPPER(TEXT(T_Fichar3[[#This Row],[Día]],"MMMM")))</f>
        <v>NOVIEMBRE</v>
      </c>
      <c r="F23" s="12"/>
      <c r="G23" s="12"/>
      <c r="H23"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3" s="12"/>
      <c r="J23" s="12"/>
      <c r="K23"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3" s="2" t="str">
        <f>IFERROR(IF(T_Fichar3[[#This Row],[Total Descanso]]="",T_Fichar3[Horas Trabajadas],T_Fichar3[[#This Row],[Horas Trabajadas]]-T_Fichar3[[#This Row],[Total Descanso]]),"")</f>
        <v/>
      </c>
    </row>
    <row r="24" spans="1:12" x14ac:dyDescent="0.2">
      <c r="A24">
        <v>14</v>
      </c>
      <c r="B24" s="9">
        <v>44514</v>
      </c>
      <c r="C24" s="6"/>
      <c r="D24" s="6"/>
      <c r="E24" s="6" t="str">
        <f>IF(T_Fichar3[[#This Row],[Día]]="","",UPPER(TEXT(T_Fichar3[[#This Row],[Día]],"MMMM")))</f>
        <v>NOVIEMBRE</v>
      </c>
      <c r="F24" s="12"/>
      <c r="G24" s="12"/>
      <c r="H24"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4" s="12"/>
      <c r="J24" s="12"/>
      <c r="K24"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4" s="2" t="str">
        <f>IFERROR(IF(T_Fichar3[[#This Row],[Total Descanso]]="",T_Fichar3[Horas Trabajadas],T_Fichar3[[#This Row],[Horas Trabajadas]]-T_Fichar3[[#This Row],[Total Descanso]]),"")</f>
        <v/>
      </c>
    </row>
    <row r="25" spans="1:12" x14ac:dyDescent="0.2">
      <c r="A25">
        <v>15</v>
      </c>
      <c r="B25" s="9">
        <v>44515</v>
      </c>
      <c r="C25" s="6"/>
      <c r="D25" s="6"/>
      <c r="E25" s="6" t="str">
        <f>IF(T_Fichar3[[#This Row],[Día]]="","",UPPER(TEXT(T_Fichar3[[#This Row],[Día]],"MMMM")))</f>
        <v>NOVIEMBRE</v>
      </c>
      <c r="F25" s="12"/>
      <c r="G25" s="12"/>
      <c r="H25"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5" s="12"/>
      <c r="J25" s="12"/>
      <c r="K25"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5" s="2" t="str">
        <f>IFERROR(IF(T_Fichar3[[#This Row],[Total Descanso]]="",T_Fichar3[Horas Trabajadas],T_Fichar3[[#This Row],[Horas Trabajadas]]-T_Fichar3[[#This Row],[Total Descanso]]),"")</f>
        <v/>
      </c>
    </row>
    <row r="26" spans="1:12" x14ac:dyDescent="0.2">
      <c r="A26">
        <v>16</v>
      </c>
      <c r="B26" s="9">
        <v>44516</v>
      </c>
      <c r="C26" s="6"/>
      <c r="D26" s="6"/>
      <c r="E26" s="6" t="str">
        <f>IF(T_Fichar3[[#This Row],[Día]]="","",UPPER(TEXT(T_Fichar3[[#This Row],[Día]],"MMMM")))</f>
        <v>NOVIEMBRE</v>
      </c>
      <c r="F26" s="12"/>
      <c r="G26" s="12"/>
      <c r="H26"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6" s="12"/>
      <c r="J26" s="12"/>
      <c r="K26"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6" s="2" t="str">
        <f>IFERROR(IF(T_Fichar3[[#This Row],[Total Descanso]]="",T_Fichar3[Horas Trabajadas],T_Fichar3[[#This Row],[Horas Trabajadas]]-T_Fichar3[[#This Row],[Total Descanso]]),"")</f>
        <v/>
      </c>
    </row>
    <row r="27" spans="1:12" x14ac:dyDescent="0.2">
      <c r="A27">
        <v>17</v>
      </c>
      <c r="B27" s="9">
        <v>44517</v>
      </c>
      <c r="C27" s="6"/>
      <c r="D27" s="6"/>
      <c r="E27" s="6" t="str">
        <f>IF(T_Fichar3[[#This Row],[Día]]="","",UPPER(TEXT(T_Fichar3[[#This Row],[Día]],"MMMM")))</f>
        <v>NOVIEMBRE</v>
      </c>
      <c r="F27" s="12"/>
      <c r="G27" s="12"/>
      <c r="H27"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7" s="12"/>
      <c r="J27" s="12"/>
      <c r="K27"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7" s="2" t="str">
        <f>IFERROR(IF(T_Fichar3[[#This Row],[Total Descanso]]="",T_Fichar3[Horas Trabajadas],T_Fichar3[[#This Row],[Horas Trabajadas]]-T_Fichar3[[#This Row],[Total Descanso]]),"")</f>
        <v/>
      </c>
    </row>
    <row r="28" spans="1:12" x14ac:dyDescent="0.2">
      <c r="A28">
        <v>18</v>
      </c>
      <c r="B28" s="9">
        <v>44518</v>
      </c>
      <c r="C28" s="6"/>
      <c r="D28" s="6"/>
      <c r="E28" s="6" t="str">
        <f>IF(T_Fichar3[[#This Row],[Día]]="","",UPPER(TEXT(T_Fichar3[[#This Row],[Día]],"MMMM")))</f>
        <v>NOVIEMBRE</v>
      </c>
      <c r="F28" s="12"/>
      <c r="G28" s="12"/>
      <c r="H28"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8" s="12"/>
      <c r="J28" s="12"/>
      <c r="K28"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8" s="2" t="str">
        <f>IFERROR(IF(T_Fichar3[[#This Row],[Total Descanso]]="",T_Fichar3[Horas Trabajadas],T_Fichar3[[#This Row],[Horas Trabajadas]]-T_Fichar3[[#This Row],[Total Descanso]]),"")</f>
        <v/>
      </c>
    </row>
    <row r="29" spans="1:12" x14ac:dyDescent="0.2">
      <c r="A29">
        <v>19</v>
      </c>
      <c r="B29" s="9">
        <v>44519</v>
      </c>
      <c r="C29" s="6"/>
      <c r="D29" s="6"/>
      <c r="E29" s="6" t="str">
        <f>IF(T_Fichar3[[#This Row],[Día]]="","",UPPER(TEXT(T_Fichar3[[#This Row],[Día]],"MMMM")))</f>
        <v>NOVIEMBRE</v>
      </c>
      <c r="F29" s="12"/>
      <c r="G29" s="12"/>
      <c r="H29"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29" s="12"/>
      <c r="J29" s="12"/>
      <c r="K29"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29" s="2" t="str">
        <f>IFERROR(IF(T_Fichar3[[#This Row],[Total Descanso]]="",T_Fichar3[Horas Trabajadas],T_Fichar3[[#This Row],[Horas Trabajadas]]-T_Fichar3[[#This Row],[Total Descanso]]),"")</f>
        <v/>
      </c>
    </row>
    <row r="30" spans="1:12" x14ac:dyDescent="0.2">
      <c r="A30">
        <v>20</v>
      </c>
      <c r="B30" s="9">
        <v>44520</v>
      </c>
      <c r="C30" s="6"/>
      <c r="D30" s="6"/>
      <c r="E30" s="6" t="str">
        <f>IF(T_Fichar3[[#This Row],[Día]]="","",UPPER(TEXT(T_Fichar3[[#This Row],[Día]],"MMMM")))</f>
        <v>NOVIEMBRE</v>
      </c>
      <c r="F30" s="12"/>
      <c r="G30" s="12"/>
      <c r="H30"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0" s="12"/>
      <c r="J30" s="12"/>
      <c r="K30"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0" s="2" t="str">
        <f>IFERROR(IF(T_Fichar3[[#This Row],[Total Descanso]]="",T_Fichar3[Horas Trabajadas],T_Fichar3[[#This Row],[Horas Trabajadas]]-T_Fichar3[[#This Row],[Total Descanso]]),"")</f>
        <v/>
      </c>
    </row>
    <row r="31" spans="1:12" x14ac:dyDescent="0.2">
      <c r="A31">
        <v>21</v>
      </c>
      <c r="B31" s="9">
        <v>44521</v>
      </c>
      <c r="C31" s="6"/>
      <c r="D31" s="6"/>
      <c r="E31" s="6" t="str">
        <f>IF(T_Fichar3[[#This Row],[Día]]="","",UPPER(TEXT(T_Fichar3[[#This Row],[Día]],"MMMM")))</f>
        <v>NOVIEMBRE</v>
      </c>
      <c r="F31" s="12"/>
      <c r="G31" s="12"/>
      <c r="H31"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1" s="12"/>
      <c r="J31" s="12"/>
      <c r="K31"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1" s="2" t="str">
        <f>IFERROR(IF(T_Fichar3[[#This Row],[Total Descanso]]="",T_Fichar3[Horas Trabajadas],T_Fichar3[[#This Row],[Horas Trabajadas]]-T_Fichar3[[#This Row],[Total Descanso]]),"")</f>
        <v/>
      </c>
    </row>
    <row r="32" spans="1:12" x14ac:dyDescent="0.2">
      <c r="A32">
        <v>22</v>
      </c>
      <c r="B32" s="9">
        <v>44522</v>
      </c>
      <c r="C32" s="6"/>
      <c r="D32" s="6"/>
      <c r="E32" s="6" t="str">
        <f>IF(T_Fichar3[[#This Row],[Día]]="","",UPPER(TEXT(T_Fichar3[[#This Row],[Día]],"MMMM")))</f>
        <v>NOVIEMBRE</v>
      </c>
      <c r="F32" s="12"/>
      <c r="G32" s="12"/>
      <c r="H32"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2" s="12"/>
      <c r="J32" s="12"/>
      <c r="K32"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2" s="2" t="str">
        <f>IFERROR(IF(T_Fichar3[[#This Row],[Total Descanso]]="",T_Fichar3[Horas Trabajadas],T_Fichar3[[#This Row],[Horas Trabajadas]]-T_Fichar3[[#This Row],[Total Descanso]]),"")</f>
        <v/>
      </c>
    </row>
    <row r="33" spans="1:12" x14ac:dyDescent="0.2">
      <c r="A33">
        <v>23</v>
      </c>
      <c r="B33" s="9">
        <v>44278</v>
      </c>
      <c r="C33" s="6"/>
      <c r="D33" s="6"/>
      <c r="E33" s="6" t="str">
        <f>IF(T_Fichar3[[#This Row],[Día]]="","",UPPER(TEXT(T_Fichar3[[#This Row],[Día]],"MMMM")))</f>
        <v>MARZO</v>
      </c>
      <c r="F33" s="12"/>
      <c r="G33" s="12"/>
      <c r="H33"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3" s="12"/>
      <c r="J33" s="12"/>
      <c r="K33"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3" s="2" t="str">
        <f>IFERROR(IF(T_Fichar3[[#This Row],[Total Descanso]]="",T_Fichar3[Horas Trabajadas],T_Fichar3[[#This Row],[Horas Trabajadas]]-T_Fichar3[[#This Row],[Total Descanso]]),"")</f>
        <v/>
      </c>
    </row>
    <row r="34" spans="1:12" x14ac:dyDescent="0.2">
      <c r="A34">
        <v>24</v>
      </c>
      <c r="B34" s="9">
        <v>44279</v>
      </c>
      <c r="C34" s="6"/>
      <c r="D34" s="6"/>
      <c r="E34" s="6" t="str">
        <f>IF(T_Fichar3[[#This Row],[Día]]="","",UPPER(TEXT(T_Fichar3[[#This Row],[Día]],"MMMM")))</f>
        <v>MARZO</v>
      </c>
      <c r="F34" s="12"/>
      <c r="G34" s="12"/>
      <c r="H34"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4" s="12"/>
      <c r="J34" s="12"/>
      <c r="K34"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4" s="2" t="str">
        <f>IFERROR(IF(T_Fichar3[[#This Row],[Total Descanso]]="",T_Fichar3[Horas Trabajadas],T_Fichar3[[#This Row],[Horas Trabajadas]]-T_Fichar3[[#This Row],[Total Descanso]]),"")</f>
        <v/>
      </c>
    </row>
    <row r="35" spans="1:12" x14ac:dyDescent="0.2">
      <c r="A35">
        <v>25</v>
      </c>
      <c r="B35" s="9">
        <v>44280</v>
      </c>
      <c r="C35" s="6"/>
      <c r="D35" s="6"/>
      <c r="E35" s="6" t="str">
        <f>IF(T_Fichar3[[#This Row],[Día]]="","",UPPER(TEXT(T_Fichar3[[#This Row],[Día]],"MMMM")))</f>
        <v>MARZO</v>
      </c>
      <c r="F35" s="12"/>
      <c r="G35" s="12"/>
      <c r="H35"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5" s="12"/>
      <c r="J35" s="12"/>
      <c r="K35"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5" s="2" t="str">
        <f>IFERROR(IF(T_Fichar3[[#This Row],[Total Descanso]]="",T_Fichar3[Horas Trabajadas],T_Fichar3[[#This Row],[Horas Trabajadas]]-T_Fichar3[[#This Row],[Total Descanso]]),"")</f>
        <v/>
      </c>
    </row>
    <row r="36" spans="1:12" x14ac:dyDescent="0.2">
      <c r="A36">
        <v>26</v>
      </c>
      <c r="B36" s="9">
        <v>44281</v>
      </c>
      <c r="C36" s="6"/>
      <c r="D36" s="6"/>
      <c r="E36" s="6" t="str">
        <f>IF(T_Fichar3[[#This Row],[Día]]="","",UPPER(TEXT(T_Fichar3[[#This Row],[Día]],"MMMM")))</f>
        <v>MARZO</v>
      </c>
      <c r="F36" s="12"/>
      <c r="G36" s="12"/>
      <c r="H36"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6" s="12"/>
      <c r="J36" s="12"/>
      <c r="K36"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6" s="2" t="str">
        <f>IFERROR(IF(T_Fichar3[[#This Row],[Total Descanso]]="",T_Fichar3[Horas Trabajadas],T_Fichar3[[#This Row],[Horas Trabajadas]]-T_Fichar3[[#This Row],[Total Descanso]]),"")</f>
        <v/>
      </c>
    </row>
    <row r="37" spans="1:12" x14ac:dyDescent="0.2">
      <c r="A37">
        <v>27</v>
      </c>
      <c r="B37" s="9">
        <v>44282</v>
      </c>
      <c r="C37" s="6"/>
      <c r="D37" s="6"/>
      <c r="E37" s="6" t="str">
        <f>IF(T_Fichar3[[#This Row],[Día]]="","",UPPER(TEXT(T_Fichar3[[#This Row],[Día]],"MMMM")))</f>
        <v>MARZO</v>
      </c>
      <c r="F37" s="12"/>
      <c r="G37" s="12"/>
      <c r="H37"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7" s="12"/>
      <c r="J37" s="12"/>
      <c r="K37"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7" s="2" t="str">
        <f>IFERROR(IF(T_Fichar3[[#This Row],[Total Descanso]]="",T_Fichar3[Horas Trabajadas],T_Fichar3[[#This Row],[Horas Trabajadas]]-T_Fichar3[[#This Row],[Total Descanso]]),"")</f>
        <v/>
      </c>
    </row>
    <row r="38" spans="1:12" x14ac:dyDescent="0.2">
      <c r="A38">
        <v>28</v>
      </c>
      <c r="B38" s="9">
        <v>44283</v>
      </c>
      <c r="C38" s="6"/>
      <c r="D38" s="6"/>
      <c r="E38" s="6" t="str">
        <f>IF(T_Fichar3[[#This Row],[Día]]="","",UPPER(TEXT(T_Fichar3[[#This Row],[Día]],"MMMM")))</f>
        <v>MARZO</v>
      </c>
      <c r="F38" s="12"/>
      <c r="G38" s="12"/>
      <c r="H38"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8" s="12"/>
      <c r="J38" s="12"/>
      <c r="K38"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8" s="2" t="str">
        <f>IFERROR(IF(T_Fichar3[[#This Row],[Total Descanso]]="",T_Fichar3[Horas Trabajadas],T_Fichar3[[#This Row],[Horas Trabajadas]]-T_Fichar3[[#This Row],[Total Descanso]]),"")</f>
        <v/>
      </c>
    </row>
    <row r="39" spans="1:12" x14ac:dyDescent="0.2">
      <c r="A39">
        <v>29</v>
      </c>
      <c r="B39" s="9">
        <v>44284</v>
      </c>
      <c r="C39" s="6"/>
      <c r="D39" s="6"/>
      <c r="E39" s="6" t="str">
        <f>IF(T_Fichar3[[#This Row],[Día]]="","",UPPER(TEXT(T_Fichar3[[#This Row],[Día]],"MMMM")))</f>
        <v>MARZO</v>
      </c>
      <c r="F39" s="12"/>
      <c r="G39" s="12"/>
      <c r="H39"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39" s="12"/>
      <c r="J39" s="12"/>
      <c r="K39"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39" s="2" t="str">
        <f>IFERROR(IF(T_Fichar3[[#This Row],[Total Descanso]]="",T_Fichar3[Horas Trabajadas],T_Fichar3[[#This Row],[Horas Trabajadas]]-T_Fichar3[[#This Row],[Total Descanso]]),"")</f>
        <v/>
      </c>
    </row>
    <row r="40" spans="1:12" x14ac:dyDescent="0.2">
      <c r="A40">
        <v>30</v>
      </c>
      <c r="B40" s="9">
        <v>44285</v>
      </c>
      <c r="C40" s="6"/>
      <c r="D40" s="6"/>
      <c r="E40" s="6" t="str">
        <f>IF(T_Fichar3[[#This Row],[Día]]="","",UPPER(TEXT(T_Fichar3[[#This Row],[Día]],"MMMM")))</f>
        <v>MARZO</v>
      </c>
      <c r="F40" s="12"/>
      <c r="G40" s="12"/>
      <c r="H40"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40" s="12"/>
      <c r="J40" s="12"/>
      <c r="K40"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40" s="2" t="str">
        <f>IFERROR(IF(T_Fichar3[[#This Row],[Total Descanso]]="",T_Fichar3[Horas Trabajadas],T_Fichar3[[#This Row],[Horas Trabajadas]]-T_Fichar3[[#This Row],[Total Descanso]]),"")</f>
        <v/>
      </c>
    </row>
    <row r="41" spans="1:12" ht="15.75" thickBot="1" x14ac:dyDescent="0.25">
      <c r="A41">
        <v>31</v>
      </c>
      <c r="B41" s="9">
        <v>44286</v>
      </c>
      <c r="C41" s="6"/>
      <c r="D41" s="6"/>
      <c r="E41" s="6" t="str">
        <f>IF(T_Fichar3[[#This Row],[Día]]="","",UPPER(TEXT(T_Fichar3[[#This Row],[Día]],"MMMM")))</f>
        <v>MARZO</v>
      </c>
      <c r="F41" s="12"/>
      <c r="G41" s="12"/>
      <c r="H41" s="1" t="str">
        <f>IFERROR(IF(OR(T_Fichar3[[#This Row],[Hora de Salida]]="",T_Fichar3[[#This Row],[Hora de Entrada]]=""),"",IF(T_Fichar3[[#This Row],[Hora de Entrada]]&gt;T_Fichar3[[#This Row],[Hora de Salida]],(1-T_Fichar3[[#This Row],[Hora de Entrada]])+(T_Fichar3[[#This Row],[Hora de Salida]]),T_Fichar3[[#This Row],[Hora de Salida]]-T_Fichar3[[#This Row],[Hora de Entrada]])),"")</f>
        <v/>
      </c>
      <c r="I41" s="12"/>
      <c r="J41" s="12"/>
      <c r="K41" s="1" t="str">
        <f>IFERROR(IF(OR(T_Fichar3[[#This Row],[Salida Descanso]]="",T_Fichar3[[#This Row],[Regreso Descanso]]=""),"",IF(T_Fichar3[[#This Row],[Salida Descanso]]&gt;T_Fichar3[[#This Row],[Regreso Descanso]],(1-T_Fichar3[[#This Row],[Salida Descanso]])+T_Fichar3[[#This Row],[Regreso Descanso]],T_Fichar3[[#This Row],[Regreso Descanso]]-T_Fichar3[[#This Row],[Salida Descanso]])),"")</f>
        <v/>
      </c>
      <c r="L41" s="2" t="str">
        <f>IFERROR(IF(T_Fichar3[[#This Row],[Total Descanso]]="",T_Fichar3[Horas Trabajadas],T_Fichar3[[#This Row],[Horas Trabajadas]]-T_Fichar3[[#This Row],[Total Descanso]]),"")</f>
        <v/>
      </c>
    </row>
    <row r="42" spans="1:12" ht="19.5" thickTop="1" x14ac:dyDescent="0.2">
      <c r="B42" s="14" t="s">
        <v>5</v>
      </c>
      <c r="C42" s="15"/>
      <c r="D42" s="15"/>
      <c r="E42" s="15"/>
      <c r="F42" s="16"/>
      <c r="G42" s="16"/>
      <c r="H42" s="17">
        <f>SUBTOTAL(109,T_Fichar3[Horas Trabajadas])</f>
        <v>0</v>
      </c>
      <c r="I42" s="15"/>
      <c r="J42" s="17"/>
      <c r="K42" s="17">
        <f>SUBTOTAL(109,T_Fichar3[Total Descanso])</f>
        <v>0</v>
      </c>
      <c r="L42" s="18">
        <f>SUBTOTAL(109,T_Fichar3[Total Horas menos Descanso])</f>
        <v>0</v>
      </c>
    </row>
    <row r="53" spans="2:12" x14ac:dyDescent="0.2">
      <c r="B53" s="22" t="s">
        <v>18</v>
      </c>
      <c r="C53" s="22"/>
      <c r="D53" s="22"/>
      <c r="E53" s="22"/>
      <c r="F53" s="22"/>
      <c r="G53" s="22"/>
      <c r="H53" s="21"/>
      <c r="I53" s="22"/>
      <c r="J53" s="22"/>
      <c r="K53" s="23"/>
      <c r="L53" s="23"/>
    </row>
  </sheetData>
  <sheetProtection insertRows="0" deleteRows="0" autoFilter="0" pivotTables="0"/>
  <mergeCells count="1">
    <mergeCell ref="C4:F4"/>
  </mergeCells>
  <phoneticPr fontId="5" alignment="center"/>
  <dataValidations count="2">
    <dataValidation type="date" allowBlank="1" showInputMessage="1" showErrorMessage="1" errorTitle="Error al escribir la fecha" error="Formato DD/MM/AAAA_x000a_" promptTitle="Escribe la fecha de trabajo" prompt="Formato DD/MM/AAAA_x000a_" sqref="B11:D41" xr:uid="{F2555920-F2F7-6948-9271-1D82BAF671CB}">
      <formula1>43101</formula1>
      <formula2>55153</formula2>
    </dataValidation>
    <dataValidation type="time" allowBlank="1" showInputMessage="1" showErrorMessage="1" errorTitle="Error en el formato" error="Escribe horas y minutos_x000a_HH:MM" promptTitle="Rellena Horas y Minutos" prompt="Formato HH:MM" sqref="I11:J41 F11:G41" xr:uid="{4B75E03C-5121-064E-BA88-409F56AE2010}">
      <formula1>0</formula1>
      <formula2>0.999305555555556</formula2>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16877-9220-B548-B4CC-6964240CA09E}">
  <dimension ref="A4:L53"/>
  <sheetViews>
    <sheetView showGridLines="0" workbookViewId="0">
      <pane ySplit="10" topLeftCell="A11" activePane="bottomLeft" state="frozen"/>
      <selection activeCell="F1" sqref="F1"/>
      <selection pane="bottomLeft" activeCell="K31" sqref="K31"/>
    </sheetView>
  </sheetViews>
  <sheetFormatPr defaultColWidth="10.76171875" defaultRowHeight="15" x14ac:dyDescent="0.2"/>
  <cols>
    <col min="2" max="2" width="12.64453125" style="10" bestFit="1" customWidth="1"/>
    <col min="3" max="3" width="10.76171875" style="4"/>
    <col min="4" max="4" width="11.97265625" style="4" customWidth="1"/>
    <col min="5" max="5" width="10.76171875" style="4"/>
    <col min="6" max="6" width="15.06640625" style="13" customWidth="1"/>
    <col min="7" max="7" width="13.85546875" style="13" customWidth="1"/>
    <col min="8" max="8" width="14.796875" style="3" customWidth="1"/>
    <col min="9" max="10" width="14.796875" style="10" customWidth="1"/>
    <col min="11" max="12" width="14.796875" style="4" customWidth="1"/>
  </cols>
  <sheetData>
    <row r="4" spans="1:12" x14ac:dyDescent="0.2">
      <c r="B4" s="24" t="s">
        <v>17</v>
      </c>
      <c r="C4" s="48" t="s">
        <v>21</v>
      </c>
      <c r="D4" s="48"/>
      <c r="E4" s="48"/>
      <c r="F4" s="48"/>
      <c r="I4" s="3" t="s">
        <v>12</v>
      </c>
    </row>
    <row r="5" spans="1:12" x14ac:dyDescent="0.2">
      <c r="B5" s="24" t="s">
        <v>13</v>
      </c>
      <c r="D5" s="24" t="s">
        <v>22</v>
      </c>
      <c r="H5" s="20" t="s">
        <v>14</v>
      </c>
      <c r="I5" s="19" t="s">
        <v>20</v>
      </c>
    </row>
    <row r="6" spans="1:12" x14ac:dyDescent="0.2">
      <c r="B6" s="24"/>
      <c r="C6" s="24"/>
      <c r="H6" s="20" t="s">
        <v>15</v>
      </c>
      <c r="I6" s="10" t="s">
        <v>19</v>
      </c>
    </row>
    <row r="7" spans="1:12" x14ac:dyDescent="0.2">
      <c r="B7" s="24"/>
      <c r="C7" s="24"/>
      <c r="H7" s="20" t="s">
        <v>23</v>
      </c>
      <c r="I7" s="10">
        <v>700</v>
      </c>
    </row>
    <row r="8" spans="1:12" x14ac:dyDescent="0.2">
      <c r="B8" s="24"/>
      <c r="C8" s="24"/>
      <c r="D8" s="24"/>
      <c r="H8" s="20" t="s">
        <v>16</v>
      </c>
      <c r="I8" s="26">
        <v>44256</v>
      </c>
    </row>
    <row r="10" spans="1:12" ht="31.5" customHeight="1" x14ac:dyDescent="0.25">
      <c r="B10" s="8" t="s">
        <v>0</v>
      </c>
      <c r="C10" s="5" t="s">
        <v>10</v>
      </c>
      <c r="D10" s="5" t="s">
        <v>11</v>
      </c>
      <c r="E10" s="5" t="s">
        <v>9</v>
      </c>
      <c r="F10" s="11" t="s">
        <v>6</v>
      </c>
      <c r="G10" s="11" t="s">
        <v>1</v>
      </c>
      <c r="H10" s="7" t="s">
        <v>2</v>
      </c>
      <c r="I10" s="11" t="s">
        <v>3</v>
      </c>
      <c r="J10" s="11" t="s">
        <v>4</v>
      </c>
      <c r="K10" s="7" t="s">
        <v>7</v>
      </c>
      <c r="L10" s="7" t="s">
        <v>8</v>
      </c>
    </row>
    <row r="11" spans="1:12" x14ac:dyDescent="0.2">
      <c r="A11">
        <v>1</v>
      </c>
      <c r="B11" s="9">
        <v>44256</v>
      </c>
      <c r="C11" s="6"/>
      <c r="D11" s="25"/>
      <c r="E11" s="6" t="str">
        <f>IF(T_Fichar311[[#This Row],[Día]]="","",UPPER(TEXT(T_Fichar311[[#This Row],[Día]],"MMMM")))</f>
        <v>MARZO</v>
      </c>
      <c r="F11" s="12"/>
      <c r="G11" s="12"/>
      <c r="H11"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11" s="12"/>
      <c r="J11" s="12"/>
      <c r="K11"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11" s="2" t="str">
        <f>IFERROR(IF(T_Fichar311[[#This Row],[Total Descanso]]="",T_Fichar311[Horas Trabajadas],T_Fichar311[[#This Row],[Horas Trabajadas]]-T_Fichar311[[#This Row],[Total Descanso]]),"")</f>
        <v/>
      </c>
    </row>
    <row r="12" spans="1:12" x14ac:dyDescent="0.2">
      <c r="A12">
        <v>2</v>
      </c>
      <c r="B12" s="9">
        <v>44257</v>
      </c>
      <c r="C12" s="6"/>
      <c r="D12" s="6"/>
      <c r="E12" s="6" t="str">
        <f>IF(T_Fichar311[[#This Row],[Día]]="","",UPPER(TEXT(T_Fichar311[[#This Row],[Día]],"MMMM")))</f>
        <v>MARZO</v>
      </c>
      <c r="F12" s="12"/>
      <c r="G12" s="12"/>
      <c r="H12"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12" s="12"/>
      <c r="J12" s="12"/>
      <c r="K12"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12" s="2" t="str">
        <f>IFERROR(IF(T_Fichar311[[#This Row],[Total Descanso]]="",T_Fichar311[Horas Trabajadas],T_Fichar311[[#This Row],[Horas Trabajadas]]-T_Fichar311[[#This Row],[Total Descanso]]),"")</f>
        <v/>
      </c>
    </row>
    <row r="13" spans="1:12" x14ac:dyDescent="0.2">
      <c r="A13">
        <v>3</v>
      </c>
      <c r="B13" s="9">
        <v>44258</v>
      </c>
      <c r="C13" s="6"/>
      <c r="D13" s="6"/>
      <c r="E13" s="6" t="str">
        <f>IF(T_Fichar311[[#This Row],[Día]]="","",UPPER(TEXT(T_Fichar311[[#This Row],[Día]],"MMMM")))</f>
        <v>MARZO</v>
      </c>
      <c r="F13" s="12"/>
      <c r="G13" s="12"/>
      <c r="H13"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13" s="12"/>
      <c r="J13" s="12"/>
      <c r="K13"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13" s="2" t="str">
        <f>IFERROR(IF(T_Fichar311[[#This Row],[Total Descanso]]="",T_Fichar311[Horas Trabajadas],T_Fichar311[[#This Row],[Horas Trabajadas]]-T_Fichar311[[#This Row],[Total Descanso]]),"")</f>
        <v/>
      </c>
    </row>
    <row r="14" spans="1:12" x14ac:dyDescent="0.2">
      <c r="A14">
        <v>4</v>
      </c>
      <c r="B14" s="9">
        <v>44259</v>
      </c>
      <c r="C14" s="6"/>
      <c r="D14" s="6"/>
      <c r="E14" s="6" t="str">
        <f>IF(T_Fichar311[[#This Row],[Día]]="","",UPPER(TEXT(T_Fichar311[[#This Row],[Día]],"MMMM")))</f>
        <v>MARZO</v>
      </c>
      <c r="F14" s="12"/>
      <c r="G14" s="12"/>
      <c r="H14"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14" s="12"/>
      <c r="J14" s="12"/>
      <c r="K14"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14" s="2" t="str">
        <f>IFERROR(IF(T_Fichar311[[#This Row],[Total Descanso]]="",T_Fichar311[Horas Trabajadas],T_Fichar311[[#This Row],[Horas Trabajadas]]-T_Fichar311[[#This Row],[Total Descanso]]),"")</f>
        <v/>
      </c>
    </row>
    <row r="15" spans="1:12" x14ac:dyDescent="0.2">
      <c r="A15">
        <v>5</v>
      </c>
      <c r="B15" s="9">
        <v>44260</v>
      </c>
      <c r="C15" s="6"/>
      <c r="D15" s="6"/>
      <c r="E15" s="6" t="str">
        <f>IF(T_Fichar311[[#This Row],[Día]]="","",UPPER(TEXT(T_Fichar311[[#This Row],[Día]],"MMMM")))</f>
        <v>MARZO</v>
      </c>
      <c r="F15" s="12"/>
      <c r="G15" s="12"/>
      <c r="H15"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15" s="12"/>
      <c r="J15" s="12"/>
      <c r="K15"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15" s="2" t="str">
        <f>IFERROR(IF(T_Fichar311[[#This Row],[Total Descanso]]="",T_Fichar311[Horas Trabajadas],T_Fichar311[[#This Row],[Horas Trabajadas]]-T_Fichar311[[#This Row],[Total Descanso]]),"")</f>
        <v/>
      </c>
    </row>
    <row r="16" spans="1:12" x14ac:dyDescent="0.2">
      <c r="B16" s="9">
        <v>44261</v>
      </c>
      <c r="C16" s="6"/>
      <c r="D16" s="6"/>
      <c r="E16" s="6"/>
      <c r="F16" s="12"/>
      <c r="G16" s="12"/>
      <c r="H16" s="1"/>
      <c r="I16" s="12"/>
      <c r="J16" s="12"/>
      <c r="K16" s="1"/>
      <c r="L16" s="2"/>
    </row>
    <row r="17" spans="1:12" x14ac:dyDescent="0.2">
      <c r="A17">
        <v>7</v>
      </c>
      <c r="B17" s="9">
        <v>44262</v>
      </c>
      <c r="C17" s="6"/>
      <c r="D17" s="6"/>
      <c r="E17" s="6" t="str">
        <f>IF(T_Fichar311[[#This Row],[Día]]="","",UPPER(TEXT(T_Fichar311[[#This Row],[Día]],"MMMM")))</f>
        <v>MARZO</v>
      </c>
      <c r="F17" s="12"/>
      <c r="G17" s="12"/>
      <c r="H17"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17" s="12"/>
      <c r="J17" s="12"/>
      <c r="K17"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17" s="2" t="str">
        <f>IFERROR(IF(T_Fichar311[[#This Row],[Total Descanso]]="",T_Fichar311[Horas Trabajadas],T_Fichar311[[#This Row],[Horas Trabajadas]]-T_Fichar311[[#This Row],[Total Descanso]]),"")</f>
        <v/>
      </c>
    </row>
    <row r="18" spans="1:12" x14ac:dyDescent="0.2">
      <c r="A18">
        <v>8</v>
      </c>
      <c r="B18" s="9">
        <v>44263</v>
      </c>
      <c r="C18" s="6"/>
      <c r="D18" s="6"/>
      <c r="E18" s="6" t="str">
        <f>IF(T_Fichar311[[#This Row],[Día]]="","",UPPER(TEXT(T_Fichar311[[#This Row],[Día]],"MMMM")))</f>
        <v>MARZO</v>
      </c>
      <c r="F18" s="12"/>
      <c r="G18" s="12"/>
      <c r="H18"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18" s="12"/>
      <c r="J18" s="12"/>
      <c r="K18"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18" s="2" t="str">
        <f>IFERROR(IF(T_Fichar311[[#This Row],[Total Descanso]]="",T_Fichar311[Horas Trabajadas],T_Fichar311[[#This Row],[Horas Trabajadas]]-T_Fichar311[[#This Row],[Total Descanso]]),"")</f>
        <v/>
      </c>
    </row>
    <row r="19" spans="1:12" x14ac:dyDescent="0.2">
      <c r="A19">
        <v>9</v>
      </c>
      <c r="B19" s="9">
        <v>44264</v>
      </c>
      <c r="C19" s="6"/>
      <c r="D19" s="6"/>
      <c r="E19" s="6" t="str">
        <f>IF(T_Fichar311[[#This Row],[Día]]="","",UPPER(TEXT(T_Fichar311[[#This Row],[Día]],"MMMM")))</f>
        <v>MARZO</v>
      </c>
      <c r="F19" s="12"/>
      <c r="G19" s="12"/>
      <c r="H19"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19" s="12"/>
      <c r="J19" s="12"/>
      <c r="K19"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19" s="2" t="str">
        <f>IFERROR(IF(T_Fichar311[[#This Row],[Total Descanso]]="",T_Fichar311[Horas Trabajadas],T_Fichar311[[#This Row],[Horas Trabajadas]]-T_Fichar311[[#This Row],[Total Descanso]]),"")</f>
        <v/>
      </c>
    </row>
    <row r="20" spans="1:12" x14ac:dyDescent="0.2">
      <c r="A20">
        <v>10</v>
      </c>
      <c r="B20" s="9">
        <v>44265</v>
      </c>
      <c r="C20" s="6"/>
      <c r="D20" s="6"/>
      <c r="E20" s="6" t="str">
        <f>IF(T_Fichar311[[#This Row],[Día]]="","",UPPER(TEXT(T_Fichar311[[#This Row],[Día]],"MMMM")))</f>
        <v>MARZO</v>
      </c>
      <c r="F20" s="12"/>
      <c r="G20" s="12"/>
      <c r="H20"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0" s="12"/>
      <c r="J20" s="12"/>
      <c r="K20"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0" s="2" t="str">
        <f>IFERROR(IF(T_Fichar311[[#This Row],[Total Descanso]]="",T_Fichar311[Horas Trabajadas],T_Fichar311[[#This Row],[Horas Trabajadas]]-T_Fichar311[[#This Row],[Total Descanso]]),"")</f>
        <v/>
      </c>
    </row>
    <row r="21" spans="1:12" x14ac:dyDescent="0.2">
      <c r="A21">
        <v>11</v>
      </c>
      <c r="B21" s="9">
        <v>44266</v>
      </c>
      <c r="C21" s="6"/>
      <c r="D21" s="6"/>
      <c r="E21" s="6" t="str">
        <f>IF(T_Fichar311[[#This Row],[Día]]="","",UPPER(TEXT(T_Fichar311[[#This Row],[Día]],"MMMM")))</f>
        <v>MARZO</v>
      </c>
      <c r="F21" s="12"/>
      <c r="G21" s="12"/>
      <c r="H21"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1" s="12"/>
      <c r="J21" s="12"/>
      <c r="K21"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1" s="2" t="str">
        <f>IFERROR(IF(T_Fichar311[[#This Row],[Total Descanso]]="",T_Fichar311[Horas Trabajadas],T_Fichar311[[#This Row],[Horas Trabajadas]]-T_Fichar311[[#This Row],[Total Descanso]]),"")</f>
        <v/>
      </c>
    </row>
    <row r="22" spans="1:12" x14ac:dyDescent="0.2">
      <c r="A22">
        <v>12</v>
      </c>
      <c r="B22" s="9">
        <v>44267</v>
      </c>
      <c r="C22" s="6"/>
      <c r="D22" s="6"/>
      <c r="E22" s="6" t="str">
        <f>IF(T_Fichar311[[#This Row],[Día]]="","",UPPER(TEXT(T_Fichar311[[#This Row],[Día]],"MMMM")))</f>
        <v>MARZO</v>
      </c>
      <c r="F22" s="12"/>
      <c r="G22" s="12"/>
      <c r="H22"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2" s="12"/>
      <c r="J22" s="12"/>
      <c r="K22"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2" s="2" t="str">
        <f>IFERROR(IF(T_Fichar311[[#This Row],[Total Descanso]]="",T_Fichar311[Horas Trabajadas],T_Fichar311[[#This Row],[Horas Trabajadas]]-T_Fichar311[[#This Row],[Total Descanso]]),"")</f>
        <v/>
      </c>
    </row>
    <row r="23" spans="1:12" x14ac:dyDescent="0.2">
      <c r="A23">
        <v>13</v>
      </c>
      <c r="B23" s="9">
        <v>44268</v>
      </c>
      <c r="C23" s="6"/>
      <c r="D23" s="6"/>
      <c r="E23" s="6" t="str">
        <f>IF(T_Fichar311[[#This Row],[Día]]="","",UPPER(TEXT(T_Fichar311[[#This Row],[Día]],"MMMM")))</f>
        <v>MARZO</v>
      </c>
      <c r="F23" s="12"/>
      <c r="G23" s="12"/>
      <c r="H23"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3" s="12"/>
      <c r="J23" s="12"/>
      <c r="K23"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3" s="2" t="str">
        <f>IFERROR(IF(T_Fichar311[[#This Row],[Total Descanso]]="",T_Fichar311[Horas Trabajadas],T_Fichar311[[#This Row],[Horas Trabajadas]]-T_Fichar311[[#This Row],[Total Descanso]]),"")</f>
        <v/>
      </c>
    </row>
    <row r="24" spans="1:12" x14ac:dyDescent="0.2">
      <c r="A24">
        <v>14</v>
      </c>
      <c r="B24" s="9">
        <v>44269</v>
      </c>
      <c r="C24" s="6"/>
      <c r="D24" s="6"/>
      <c r="E24" s="6" t="str">
        <f>IF(T_Fichar311[[#This Row],[Día]]="","",UPPER(TEXT(T_Fichar311[[#This Row],[Día]],"MMMM")))</f>
        <v>MARZO</v>
      </c>
      <c r="F24" s="12"/>
      <c r="G24" s="12"/>
      <c r="H24"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4" s="12"/>
      <c r="J24" s="12"/>
      <c r="K24"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4" s="2" t="str">
        <f>IFERROR(IF(T_Fichar311[[#This Row],[Total Descanso]]="",T_Fichar311[Horas Trabajadas],T_Fichar311[[#This Row],[Horas Trabajadas]]-T_Fichar311[[#This Row],[Total Descanso]]),"")</f>
        <v/>
      </c>
    </row>
    <row r="25" spans="1:12" x14ac:dyDescent="0.2">
      <c r="A25">
        <v>15</v>
      </c>
      <c r="B25" s="9">
        <v>44270</v>
      </c>
      <c r="C25" s="6"/>
      <c r="D25" s="6"/>
      <c r="E25" s="6" t="str">
        <f>IF(T_Fichar311[[#This Row],[Día]]="","",UPPER(TEXT(T_Fichar311[[#This Row],[Día]],"MMMM")))</f>
        <v>MARZO</v>
      </c>
      <c r="F25" s="12"/>
      <c r="G25" s="12"/>
      <c r="H25"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5" s="12"/>
      <c r="J25" s="12"/>
      <c r="K25"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5" s="2" t="str">
        <f>IFERROR(IF(T_Fichar311[[#This Row],[Total Descanso]]="",T_Fichar311[Horas Trabajadas],T_Fichar311[[#This Row],[Horas Trabajadas]]-T_Fichar311[[#This Row],[Total Descanso]]),"")</f>
        <v/>
      </c>
    </row>
    <row r="26" spans="1:12" x14ac:dyDescent="0.2">
      <c r="A26">
        <v>16</v>
      </c>
      <c r="B26" s="9">
        <v>44271</v>
      </c>
      <c r="C26" s="6"/>
      <c r="D26" s="6"/>
      <c r="E26" s="6" t="str">
        <f>IF(T_Fichar311[[#This Row],[Día]]="","",UPPER(TEXT(T_Fichar311[[#This Row],[Día]],"MMMM")))</f>
        <v>MARZO</v>
      </c>
      <c r="F26" s="12"/>
      <c r="G26" s="12"/>
      <c r="H26"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6" s="12"/>
      <c r="J26" s="12"/>
      <c r="K26"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6" s="2" t="str">
        <f>IFERROR(IF(T_Fichar311[[#This Row],[Total Descanso]]="",T_Fichar311[Horas Trabajadas],T_Fichar311[[#This Row],[Horas Trabajadas]]-T_Fichar311[[#This Row],[Total Descanso]]),"")</f>
        <v/>
      </c>
    </row>
    <row r="27" spans="1:12" x14ac:dyDescent="0.2">
      <c r="A27">
        <v>17</v>
      </c>
      <c r="B27" s="9">
        <v>44272</v>
      </c>
      <c r="C27" s="6"/>
      <c r="D27" s="6"/>
      <c r="E27" s="6" t="str">
        <f>IF(T_Fichar311[[#This Row],[Día]]="","",UPPER(TEXT(T_Fichar311[[#This Row],[Día]],"MMMM")))</f>
        <v>MARZO</v>
      </c>
      <c r="F27" s="12"/>
      <c r="G27" s="12"/>
      <c r="H27"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7" s="12"/>
      <c r="J27" s="12"/>
      <c r="K27"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7" s="2" t="str">
        <f>IFERROR(IF(T_Fichar311[[#This Row],[Total Descanso]]="",T_Fichar311[Horas Trabajadas],T_Fichar311[[#This Row],[Horas Trabajadas]]-T_Fichar311[[#This Row],[Total Descanso]]),"")</f>
        <v/>
      </c>
    </row>
    <row r="28" spans="1:12" x14ac:dyDescent="0.2">
      <c r="A28">
        <v>18</v>
      </c>
      <c r="B28" s="9">
        <v>44273</v>
      </c>
      <c r="C28" s="6"/>
      <c r="D28" s="6"/>
      <c r="E28" s="6" t="str">
        <f>IF(T_Fichar311[[#This Row],[Día]]="","",UPPER(TEXT(T_Fichar311[[#This Row],[Día]],"MMMM")))</f>
        <v>MARZO</v>
      </c>
      <c r="F28" s="12"/>
      <c r="G28" s="12"/>
      <c r="H28"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8" s="12"/>
      <c r="J28" s="12"/>
      <c r="K28"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8" s="2" t="str">
        <f>IFERROR(IF(T_Fichar311[[#This Row],[Total Descanso]]="",T_Fichar311[Horas Trabajadas],T_Fichar311[[#This Row],[Horas Trabajadas]]-T_Fichar311[[#This Row],[Total Descanso]]),"")</f>
        <v/>
      </c>
    </row>
    <row r="29" spans="1:12" x14ac:dyDescent="0.2">
      <c r="A29">
        <v>19</v>
      </c>
      <c r="B29" s="9">
        <v>44274</v>
      </c>
      <c r="C29" s="6"/>
      <c r="D29" s="6"/>
      <c r="E29" s="6" t="str">
        <f>IF(T_Fichar311[[#This Row],[Día]]="","",UPPER(TEXT(T_Fichar311[[#This Row],[Día]],"MMMM")))</f>
        <v>MARZO</v>
      </c>
      <c r="F29" s="12"/>
      <c r="G29" s="12"/>
      <c r="H29"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29" s="12"/>
      <c r="J29" s="12"/>
      <c r="K29"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29" s="2" t="str">
        <f>IFERROR(IF(T_Fichar311[[#This Row],[Total Descanso]]="",T_Fichar311[Horas Trabajadas],T_Fichar311[[#This Row],[Horas Trabajadas]]-T_Fichar311[[#This Row],[Total Descanso]]),"")</f>
        <v/>
      </c>
    </row>
    <row r="30" spans="1:12" x14ac:dyDescent="0.2">
      <c r="A30">
        <v>20</v>
      </c>
      <c r="B30" s="9">
        <v>44275</v>
      </c>
      <c r="C30" s="6"/>
      <c r="D30" s="6"/>
      <c r="E30" s="6" t="str">
        <f>IF(T_Fichar311[[#This Row],[Día]]="","",UPPER(TEXT(T_Fichar311[[#This Row],[Día]],"MMMM")))</f>
        <v>MARZO</v>
      </c>
      <c r="F30" s="12"/>
      <c r="G30" s="12"/>
      <c r="H30"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0" s="12"/>
      <c r="J30" s="12"/>
      <c r="K30"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0" s="2" t="str">
        <f>IFERROR(IF(T_Fichar311[[#This Row],[Total Descanso]]="",T_Fichar311[Horas Trabajadas],T_Fichar311[[#This Row],[Horas Trabajadas]]-T_Fichar311[[#This Row],[Total Descanso]]),"")</f>
        <v/>
      </c>
    </row>
    <row r="31" spans="1:12" x14ac:dyDescent="0.2">
      <c r="A31">
        <v>21</v>
      </c>
      <c r="B31" s="9">
        <v>44276</v>
      </c>
      <c r="C31" s="6"/>
      <c r="D31" s="6"/>
      <c r="E31" s="6" t="str">
        <f>IF(T_Fichar311[[#This Row],[Día]]="","",UPPER(TEXT(T_Fichar311[[#This Row],[Día]],"MMMM")))</f>
        <v>MARZO</v>
      </c>
      <c r="F31" s="12"/>
      <c r="G31" s="12"/>
      <c r="H31"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1" s="12"/>
      <c r="J31" s="12"/>
      <c r="K31"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1" s="2" t="str">
        <f>IFERROR(IF(T_Fichar311[[#This Row],[Total Descanso]]="",T_Fichar311[Horas Trabajadas],T_Fichar311[[#This Row],[Horas Trabajadas]]-T_Fichar311[[#This Row],[Total Descanso]]),"")</f>
        <v/>
      </c>
    </row>
    <row r="32" spans="1:12" x14ac:dyDescent="0.2">
      <c r="A32">
        <v>22</v>
      </c>
      <c r="B32" s="9">
        <v>44277</v>
      </c>
      <c r="C32" s="6"/>
      <c r="D32" s="6"/>
      <c r="E32" s="6" t="str">
        <f>IF(T_Fichar311[[#This Row],[Día]]="","",UPPER(TEXT(T_Fichar311[[#This Row],[Día]],"MMMM")))</f>
        <v>MARZO</v>
      </c>
      <c r="F32" s="12"/>
      <c r="G32" s="12"/>
      <c r="H32"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2" s="12"/>
      <c r="J32" s="12"/>
      <c r="K32"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2" s="2" t="str">
        <f>IFERROR(IF(T_Fichar311[[#This Row],[Total Descanso]]="",T_Fichar311[Horas Trabajadas],T_Fichar311[[#This Row],[Horas Trabajadas]]-T_Fichar311[[#This Row],[Total Descanso]]),"")</f>
        <v/>
      </c>
    </row>
    <row r="33" spans="1:12" x14ac:dyDescent="0.2">
      <c r="A33">
        <v>23</v>
      </c>
      <c r="B33" s="9">
        <v>44278</v>
      </c>
      <c r="C33" s="6"/>
      <c r="D33" s="6"/>
      <c r="E33" s="6" t="str">
        <f>IF(T_Fichar311[[#This Row],[Día]]="","",UPPER(TEXT(T_Fichar311[[#This Row],[Día]],"MMMM")))</f>
        <v>MARZO</v>
      </c>
      <c r="F33" s="12"/>
      <c r="G33" s="12"/>
      <c r="H33"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3" s="12"/>
      <c r="J33" s="12"/>
      <c r="K33"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3" s="2" t="str">
        <f>IFERROR(IF(T_Fichar311[[#This Row],[Total Descanso]]="",T_Fichar311[Horas Trabajadas],T_Fichar311[[#This Row],[Horas Trabajadas]]-T_Fichar311[[#This Row],[Total Descanso]]),"")</f>
        <v/>
      </c>
    </row>
    <row r="34" spans="1:12" x14ac:dyDescent="0.2">
      <c r="A34">
        <v>24</v>
      </c>
      <c r="B34" s="9">
        <v>44279</v>
      </c>
      <c r="C34" s="6"/>
      <c r="D34" s="6"/>
      <c r="E34" s="6" t="str">
        <f>IF(T_Fichar311[[#This Row],[Día]]="","",UPPER(TEXT(T_Fichar311[[#This Row],[Día]],"MMMM")))</f>
        <v>MARZO</v>
      </c>
      <c r="F34" s="12"/>
      <c r="G34" s="12"/>
      <c r="H34"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4" s="12"/>
      <c r="J34" s="12"/>
      <c r="K34"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4" s="2" t="str">
        <f>IFERROR(IF(T_Fichar311[[#This Row],[Total Descanso]]="",T_Fichar311[Horas Trabajadas],T_Fichar311[[#This Row],[Horas Trabajadas]]-T_Fichar311[[#This Row],[Total Descanso]]),"")</f>
        <v/>
      </c>
    </row>
    <row r="35" spans="1:12" x14ac:dyDescent="0.2">
      <c r="A35">
        <v>25</v>
      </c>
      <c r="B35" s="9">
        <v>44280</v>
      </c>
      <c r="C35" s="6"/>
      <c r="D35" s="6"/>
      <c r="E35" s="6" t="str">
        <f>IF(T_Fichar311[[#This Row],[Día]]="","",UPPER(TEXT(T_Fichar311[[#This Row],[Día]],"MMMM")))</f>
        <v>MARZO</v>
      </c>
      <c r="F35" s="12"/>
      <c r="G35" s="12"/>
      <c r="H35"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5" s="12"/>
      <c r="J35" s="12"/>
      <c r="K35"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5" s="2" t="str">
        <f>IFERROR(IF(T_Fichar311[[#This Row],[Total Descanso]]="",T_Fichar311[Horas Trabajadas],T_Fichar311[[#This Row],[Horas Trabajadas]]-T_Fichar311[[#This Row],[Total Descanso]]),"")</f>
        <v/>
      </c>
    </row>
    <row r="36" spans="1:12" x14ac:dyDescent="0.2">
      <c r="A36">
        <v>26</v>
      </c>
      <c r="B36" s="9">
        <v>44281</v>
      </c>
      <c r="C36" s="6"/>
      <c r="D36" s="6"/>
      <c r="E36" s="6" t="str">
        <f>IF(T_Fichar311[[#This Row],[Día]]="","",UPPER(TEXT(T_Fichar311[[#This Row],[Día]],"MMMM")))</f>
        <v>MARZO</v>
      </c>
      <c r="F36" s="12"/>
      <c r="G36" s="12"/>
      <c r="H36"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6" s="12"/>
      <c r="J36" s="12"/>
      <c r="K36"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6" s="2" t="str">
        <f>IFERROR(IF(T_Fichar311[[#This Row],[Total Descanso]]="",T_Fichar311[Horas Trabajadas],T_Fichar311[[#This Row],[Horas Trabajadas]]-T_Fichar311[[#This Row],[Total Descanso]]),"")</f>
        <v/>
      </c>
    </row>
    <row r="37" spans="1:12" x14ac:dyDescent="0.2">
      <c r="A37">
        <v>27</v>
      </c>
      <c r="B37" s="9">
        <v>44282</v>
      </c>
      <c r="C37" s="6"/>
      <c r="D37" s="6"/>
      <c r="E37" s="6" t="str">
        <f>IF(T_Fichar311[[#This Row],[Día]]="","",UPPER(TEXT(T_Fichar311[[#This Row],[Día]],"MMMM")))</f>
        <v>MARZO</v>
      </c>
      <c r="F37" s="12"/>
      <c r="G37" s="12"/>
      <c r="H37"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7" s="12"/>
      <c r="J37" s="12"/>
      <c r="K37"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7" s="2" t="str">
        <f>IFERROR(IF(T_Fichar311[[#This Row],[Total Descanso]]="",T_Fichar311[Horas Trabajadas],T_Fichar311[[#This Row],[Horas Trabajadas]]-T_Fichar311[[#This Row],[Total Descanso]]),"")</f>
        <v/>
      </c>
    </row>
    <row r="38" spans="1:12" x14ac:dyDescent="0.2">
      <c r="A38">
        <v>28</v>
      </c>
      <c r="B38" s="9">
        <v>44283</v>
      </c>
      <c r="C38" s="6"/>
      <c r="D38" s="6"/>
      <c r="E38" s="6" t="str">
        <f>IF(T_Fichar311[[#This Row],[Día]]="","",UPPER(TEXT(T_Fichar311[[#This Row],[Día]],"MMMM")))</f>
        <v>MARZO</v>
      </c>
      <c r="F38" s="12"/>
      <c r="G38" s="12"/>
      <c r="H38"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8" s="12"/>
      <c r="J38" s="12"/>
      <c r="K38"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8" s="2" t="str">
        <f>IFERROR(IF(T_Fichar311[[#This Row],[Total Descanso]]="",T_Fichar311[Horas Trabajadas],T_Fichar311[[#This Row],[Horas Trabajadas]]-T_Fichar311[[#This Row],[Total Descanso]]),"")</f>
        <v/>
      </c>
    </row>
    <row r="39" spans="1:12" x14ac:dyDescent="0.2">
      <c r="A39">
        <v>29</v>
      </c>
      <c r="B39" s="9">
        <v>44284</v>
      </c>
      <c r="C39" s="6"/>
      <c r="D39" s="6"/>
      <c r="E39" s="6" t="str">
        <f>IF(T_Fichar311[[#This Row],[Día]]="","",UPPER(TEXT(T_Fichar311[[#This Row],[Día]],"MMMM")))</f>
        <v>MARZO</v>
      </c>
      <c r="F39" s="12"/>
      <c r="G39" s="12"/>
      <c r="H39"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39" s="12"/>
      <c r="J39" s="12"/>
      <c r="K39"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39" s="2" t="str">
        <f>IFERROR(IF(T_Fichar311[[#This Row],[Total Descanso]]="",T_Fichar311[Horas Trabajadas],T_Fichar311[[#This Row],[Horas Trabajadas]]-T_Fichar311[[#This Row],[Total Descanso]]),"")</f>
        <v/>
      </c>
    </row>
    <row r="40" spans="1:12" x14ac:dyDescent="0.2">
      <c r="A40">
        <v>30</v>
      </c>
      <c r="B40" s="9">
        <v>44285</v>
      </c>
      <c r="C40" s="6"/>
      <c r="D40" s="6"/>
      <c r="E40" s="6" t="str">
        <f>IF(T_Fichar311[[#This Row],[Día]]="","",UPPER(TEXT(T_Fichar311[[#This Row],[Día]],"MMMM")))</f>
        <v>MARZO</v>
      </c>
      <c r="F40" s="12"/>
      <c r="G40" s="12"/>
      <c r="H40"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40" s="12"/>
      <c r="J40" s="12"/>
      <c r="K40"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40" s="2" t="str">
        <f>IFERROR(IF(T_Fichar311[[#This Row],[Total Descanso]]="",T_Fichar311[Horas Trabajadas],T_Fichar311[[#This Row],[Horas Trabajadas]]-T_Fichar311[[#This Row],[Total Descanso]]),"")</f>
        <v/>
      </c>
    </row>
    <row r="41" spans="1:12" ht="15.75" thickBot="1" x14ac:dyDescent="0.25">
      <c r="A41">
        <v>31</v>
      </c>
      <c r="B41" s="9">
        <v>44286</v>
      </c>
      <c r="C41" s="6"/>
      <c r="D41" s="6"/>
      <c r="E41" s="6" t="str">
        <f>IF(T_Fichar311[[#This Row],[Día]]="","",UPPER(TEXT(T_Fichar311[[#This Row],[Día]],"MMMM")))</f>
        <v>MARZO</v>
      </c>
      <c r="F41" s="12"/>
      <c r="G41" s="12"/>
      <c r="H41" s="1" t="str">
        <f>IFERROR(IF(OR(T_Fichar311[[#This Row],[Hora de Salida]]="",T_Fichar311[[#This Row],[Hora de Entrada]]=""),"",IF(T_Fichar311[[#This Row],[Hora de Entrada]]&gt;T_Fichar311[[#This Row],[Hora de Salida]],(1-T_Fichar311[[#This Row],[Hora de Entrada]])+(T_Fichar311[[#This Row],[Hora de Salida]]),T_Fichar311[[#This Row],[Hora de Salida]]-T_Fichar311[[#This Row],[Hora de Entrada]])),"")</f>
        <v/>
      </c>
      <c r="I41" s="12"/>
      <c r="J41" s="12"/>
      <c r="K41" s="1" t="str">
        <f>IFERROR(IF(OR(T_Fichar311[[#This Row],[Salida Descanso]]="",T_Fichar311[[#This Row],[Regreso Descanso]]=""),"",IF(T_Fichar311[[#This Row],[Salida Descanso]]&gt;T_Fichar311[[#This Row],[Regreso Descanso]],(1-T_Fichar311[[#This Row],[Salida Descanso]])+T_Fichar311[[#This Row],[Regreso Descanso]],T_Fichar311[[#This Row],[Regreso Descanso]]-T_Fichar311[[#This Row],[Salida Descanso]])),"")</f>
        <v/>
      </c>
      <c r="L41" s="2" t="str">
        <f>IFERROR(IF(T_Fichar311[[#This Row],[Total Descanso]]="",T_Fichar311[Horas Trabajadas],T_Fichar311[[#This Row],[Horas Trabajadas]]-T_Fichar311[[#This Row],[Total Descanso]]),"")</f>
        <v/>
      </c>
    </row>
    <row r="42" spans="1:12" ht="19.5" thickTop="1" x14ac:dyDescent="0.2">
      <c r="B42" s="14" t="s">
        <v>5</v>
      </c>
      <c r="C42" s="15"/>
      <c r="D42" s="15"/>
      <c r="E42" s="15"/>
      <c r="F42" s="16"/>
      <c r="G42" s="16"/>
      <c r="H42" s="17">
        <f>SUBTOTAL(109,T_Fichar311[Horas Trabajadas])</f>
        <v>0</v>
      </c>
      <c r="I42" s="15"/>
      <c r="J42" s="17"/>
      <c r="K42" s="17">
        <f>SUBTOTAL(109,T_Fichar311[Total Descanso])</f>
        <v>0</v>
      </c>
      <c r="L42" s="18">
        <f>SUBTOTAL(109,T_Fichar311[Total Horas menos Descanso])</f>
        <v>0</v>
      </c>
    </row>
    <row r="53" spans="2:12" x14ac:dyDescent="0.2">
      <c r="B53" s="22" t="s">
        <v>18</v>
      </c>
      <c r="C53" s="22"/>
      <c r="D53" s="22"/>
      <c r="E53" s="22"/>
      <c r="F53" s="22"/>
      <c r="G53" s="22"/>
      <c r="H53" s="21"/>
      <c r="I53" s="22"/>
      <c r="J53" s="22"/>
      <c r="K53" s="23"/>
      <c r="L53" s="23"/>
    </row>
  </sheetData>
  <sheetProtection insertRows="0" deleteRows="0" autoFilter="0" pivotTables="0"/>
  <mergeCells count="1">
    <mergeCell ref="C4:F4"/>
  </mergeCells>
  <phoneticPr fontId="5" alignment="center"/>
  <dataValidations count="2">
    <dataValidation type="time" allowBlank="1" showInputMessage="1" showErrorMessage="1" errorTitle="Error en el formato" error="Escribe horas y minutos_x000a_HH:MM" promptTitle="Rellena Horas y Minutos" prompt="Formato HH:MM" sqref="I11:J41 F11:G41" xr:uid="{74220028-9830-0348-BAD3-5FCD49CB7F50}">
      <formula1>0</formula1>
      <formula2>0.999305555555556</formula2>
    </dataValidation>
    <dataValidation type="date" allowBlank="1" showInputMessage="1" showErrorMessage="1" errorTitle="Error al escribir la fecha" error="Formato DD/MM/AAAA_x000a_" promptTitle="Escribe la fecha de trabajo" prompt="Formato DD/MM/AAAA_x000a_" sqref="B11:D41" xr:uid="{0E75A6C7-08CC-C140-BC23-47BC27DDC36F}">
      <formula1>43101</formula1>
      <formula2>55153</formula2>
    </dataValidation>
  </dataValidations>
  <pageMargins left="0.7" right="0.7" top="0.75" bottom="0.75" header="0.3" footer="0.3"/>
  <pageSetup paperSize="9" orientation="portrait" horizontalDpi="300" verticalDpi="30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 /></Relationships>
</file>

<file path=customXml/item1.xml>�� 
</file>

<file path=customXml/itemProps1.xml><?xml version="1.0" encoding="utf-8"?>
<ds:datastoreItem xmlns:ds="http://schemas.openxmlformats.org/officeDocument/2006/customXml" ds:itemID="{EDBC58B8-E75D-4529-AF6B-8D9717A3272E}">
  <ds:schemaRefs>
    <ds:schemaRef ds:uri="http://schemas.microsoft.com/PowerBIAddIn"/>
    <ds:schemaRef ds:uri="http://www.w3.org/2000/xmlns/"/>
    <ds:schemaRef ds:uri="http://www.w3.org/2001/XMLSchema-instance"/>
  </ds:schemaRefs>
</ds:datastoreItem>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Hojas de cálculo</vt:lpstr>
      </vt:variant>
      <vt:variant>
        <vt:i4>10</vt:i4>
      </vt:variant>
    </vt:vector>
  </HeadingPairs>
  <TitlesOfParts>
    <vt:vector size="10" baseType="lpstr">
      <vt:lpstr>MARZO</vt:lpstr>
      <vt:lpstr>ABRIL</vt:lpstr>
      <vt:lpstr>MAYO</vt:lpstr>
      <vt:lpstr>JUNIO</vt:lpstr>
      <vt:lpstr>JULIO</vt:lpstr>
      <vt:lpstr>AGOSTO</vt:lpstr>
      <vt:lpstr>SEPTIEMBRE</vt:lpstr>
      <vt:lpstr>OCTUBRE</vt:lpstr>
      <vt:lpstr>NOVIEMBRE</vt:lpstr>
      <vt:lpstr>DICIEMBRE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Santiago Sánchez</dc:creator>
  <cp:lastModifiedBy>Santiago Sánchez</cp:lastModifiedBy>
  <dcterms:created xsi:type="dcterms:W3CDTF">2019-05-18T17:42:40Z</dcterms:created>
  <dcterms:modified xsi:type="dcterms:W3CDTF">2019-05-18T20:23:03Z</dcterms:modified>
</cp:coreProperties>
</file>